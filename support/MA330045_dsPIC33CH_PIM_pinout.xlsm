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7A895D0E-6413-438E-BB53-D83BC8152184}" xr6:coauthVersionLast="43" xr6:coauthVersionMax="43" xr10:uidLastSave="{00000000-0000-0000-0000-000000000000}"/>
  <bookViews>
    <workbookView xWindow="375" yWindow="375" windowWidth="13965" windowHeight="11355" tabRatio="463" xr2:uid="{00000000-000D-0000-FFFF-FFFF00000000}"/>
  </bookViews>
  <sheets>
    <sheet name="DP PIM Sagittarius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Sagittarius'!$A$8:$V$72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4" i="6" l="1"/>
  <c r="L28" i="6"/>
  <c r="L27" i="6"/>
  <c r="L15" i="6"/>
  <c r="L17" i="6"/>
  <c r="L18" i="6"/>
  <c r="L49" i="6"/>
  <c r="L48" i="6"/>
  <c r="L33" i="6"/>
  <c r="L34" i="6"/>
  <c r="L10" i="6"/>
  <c r="L11" i="6"/>
  <c r="L12" i="6"/>
  <c r="L30" i="6" l="1"/>
  <c r="L35" i="6"/>
  <c r="L37" i="6"/>
  <c r="L45" i="6"/>
  <c r="L44" i="6"/>
  <c r="L40" i="6"/>
  <c r="L42" i="6"/>
  <c r="L38" i="6"/>
  <c r="L46" i="6"/>
  <c r="L41" i="6"/>
  <c r="L43" i="6"/>
  <c r="L63" i="6"/>
  <c r="L62" i="6"/>
  <c r="L54" i="6"/>
  <c r="L55" i="6"/>
  <c r="L32" i="6"/>
  <c r="L50" i="6"/>
  <c r="L51" i="6"/>
  <c r="L31" i="6"/>
  <c r="L52" i="6"/>
  <c r="L53" i="6"/>
  <c r="L23" i="6"/>
  <c r="L16" i="6"/>
  <c r="L26" i="6"/>
  <c r="L61" i="6"/>
  <c r="L25" i="6"/>
  <c r="L14" i="6"/>
  <c r="L24" i="6"/>
  <c r="L21" i="6"/>
  <c r="L19" i="6"/>
  <c r="L20" i="6"/>
  <c r="L22" i="6"/>
  <c r="L13" i="6"/>
  <c r="L29" i="6"/>
  <c r="L9" i="6"/>
  <c r="L56" i="6"/>
  <c r="L57" i="6"/>
  <c r="L47" i="6"/>
  <c r="L39" i="6"/>
  <c r="L36" i="6"/>
  <c r="B5" i="6"/>
  <c r="K48" i="6" l="1"/>
  <c r="J48" i="6"/>
  <c r="I48" i="6"/>
  <c r="H48" i="6"/>
  <c r="G48" i="6"/>
  <c r="K39" i="6"/>
  <c r="J39" i="6"/>
  <c r="I39" i="6"/>
  <c r="H39" i="6"/>
  <c r="G39" i="6"/>
  <c r="K46" i="6"/>
  <c r="J46" i="6"/>
  <c r="I46" i="6"/>
  <c r="H46" i="6"/>
  <c r="G46" i="6"/>
  <c r="K36" i="6"/>
  <c r="J36" i="6"/>
  <c r="I36" i="6"/>
  <c r="H36" i="6"/>
  <c r="G36" i="6"/>
  <c r="K21" i="6"/>
  <c r="J21" i="6"/>
  <c r="I21" i="6"/>
  <c r="H21" i="6"/>
  <c r="G21" i="6"/>
  <c r="K20" i="6"/>
  <c r="J20" i="6"/>
  <c r="I20" i="6"/>
  <c r="H20" i="6"/>
  <c r="G20" i="6"/>
  <c r="K17" i="6"/>
  <c r="J17" i="6"/>
  <c r="I17" i="6"/>
  <c r="H17" i="6"/>
  <c r="G17" i="6"/>
  <c r="K23" i="6"/>
  <c r="J23" i="6"/>
  <c r="I23" i="6"/>
  <c r="H23" i="6"/>
  <c r="G23" i="6"/>
  <c r="K61" i="6"/>
  <c r="J61" i="6"/>
  <c r="I61" i="6"/>
  <c r="H61" i="6"/>
  <c r="G61" i="6"/>
  <c r="K25" i="6"/>
  <c r="J25" i="6"/>
  <c r="I25" i="6"/>
  <c r="H25" i="6"/>
  <c r="G25" i="6"/>
  <c r="K22" i="6"/>
  <c r="J22" i="6"/>
  <c r="I22" i="6"/>
  <c r="H22" i="6"/>
  <c r="G22" i="6"/>
  <c r="K56" i="6"/>
  <c r="J56" i="6"/>
  <c r="I56" i="6"/>
  <c r="H56" i="6"/>
  <c r="G56" i="6"/>
  <c r="K57" i="6"/>
  <c r="J57" i="6"/>
  <c r="I57" i="6"/>
  <c r="H57" i="6"/>
  <c r="G57" i="6"/>
  <c r="K14" i="6"/>
  <c r="J14" i="6"/>
  <c r="I14" i="6"/>
  <c r="H14" i="6"/>
  <c r="G14" i="6"/>
  <c r="K51" i="6"/>
  <c r="J51" i="6"/>
  <c r="I51" i="6"/>
  <c r="H51" i="6"/>
  <c r="G51" i="6"/>
  <c r="K33" i="6"/>
  <c r="J33" i="6"/>
  <c r="I33" i="6"/>
  <c r="H33" i="6"/>
  <c r="G33" i="6"/>
  <c r="K27" i="6"/>
  <c r="J27" i="6"/>
  <c r="I27" i="6"/>
  <c r="H27" i="6"/>
  <c r="G27" i="6"/>
  <c r="K31" i="6"/>
  <c r="J31" i="6"/>
  <c r="I31" i="6"/>
  <c r="H31" i="6"/>
  <c r="G31" i="6"/>
  <c r="K55" i="6"/>
  <c r="J55" i="6"/>
  <c r="I55" i="6"/>
  <c r="H55" i="6"/>
  <c r="G55" i="6"/>
  <c r="K54" i="6"/>
  <c r="J54" i="6"/>
  <c r="I54" i="6"/>
  <c r="H54" i="6"/>
  <c r="G54" i="6"/>
  <c r="K34" i="6"/>
  <c r="J34" i="6"/>
  <c r="I34" i="6"/>
  <c r="H34" i="6"/>
  <c r="G34" i="6"/>
  <c r="K11" i="6"/>
  <c r="J11" i="6"/>
  <c r="I11" i="6"/>
  <c r="H11" i="6"/>
  <c r="G11" i="6"/>
  <c r="K62" i="6"/>
  <c r="J62" i="6"/>
  <c r="I62" i="6"/>
  <c r="H62" i="6"/>
  <c r="G62" i="6"/>
  <c r="K53" i="6"/>
  <c r="J53" i="6"/>
  <c r="I53" i="6"/>
  <c r="H53" i="6"/>
  <c r="G53" i="6"/>
  <c r="K52" i="6"/>
  <c r="J52" i="6"/>
  <c r="I52" i="6"/>
  <c r="H52" i="6"/>
  <c r="G52" i="6"/>
  <c r="K19" i="6"/>
  <c r="J19" i="6"/>
  <c r="I19" i="6"/>
  <c r="H19" i="6"/>
  <c r="G19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26" i="6"/>
  <c r="J26" i="6"/>
  <c r="I26" i="6"/>
  <c r="H26" i="6"/>
  <c r="G26" i="6"/>
  <c r="K16" i="6"/>
  <c r="J16" i="6"/>
  <c r="I16" i="6"/>
  <c r="H16" i="6"/>
  <c r="G16" i="6"/>
  <c r="K44" i="6"/>
  <c r="J44" i="6"/>
  <c r="I44" i="6"/>
  <c r="H44" i="6"/>
  <c r="G44" i="6"/>
  <c r="K35" i="6"/>
  <c r="J35" i="6"/>
  <c r="I35" i="6"/>
  <c r="H35" i="6"/>
  <c r="G35" i="6"/>
  <c r="K37" i="6"/>
  <c r="J37" i="6"/>
  <c r="I37" i="6"/>
  <c r="H37" i="6"/>
  <c r="G37" i="6"/>
  <c r="K40" i="6"/>
  <c r="J40" i="6"/>
  <c r="I40" i="6"/>
  <c r="H40" i="6"/>
  <c r="G40" i="6"/>
  <c r="K64" i="6"/>
  <c r="J64" i="6"/>
  <c r="I64" i="6"/>
  <c r="H64" i="6"/>
  <c r="G64" i="6"/>
  <c r="K63" i="6"/>
  <c r="J63" i="6"/>
  <c r="I63" i="6"/>
  <c r="H63" i="6"/>
  <c r="G63" i="6"/>
  <c r="K24" i="6"/>
  <c r="J24" i="6"/>
  <c r="I24" i="6"/>
  <c r="H24" i="6"/>
  <c r="G24" i="6"/>
  <c r="K50" i="6"/>
  <c r="J50" i="6"/>
  <c r="I50" i="6"/>
  <c r="H50" i="6"/>
  <c r="G50" i="6"/>
  <c r="K32" i="6"/>
  <c r="J32" i="6"/>
  <c r="I32" i="6"/>
  <c r="H32" i="6"/>
  <c r="G32" i="6"/>
  <c r="K49" i="6"/>
  <c r="J49" i="6"/>
  <c r="I49" i="6"/>
  <c r="H49" i="6"/>
  <c r="G49" i="6"/>
  <c r="K47" i="6"/>
  <c r="J47" i="6"/>
  <c r="I47" i="6"/>
  <c r="H47" i="6"/>
  <c r="G47" i="6"/>
  <c r="K10" i="6"/>
  <c r="J10" i="6"/>
  <c r="I10" i="6"/>
  <c r="H10" i="6"/>
  <c r="G10" i="6"/>
  <c r="K9" i="6"/>
  <c r="J9" i="6"/>
  <c r="I9" i="6"/>
  <c r="H9" i="6"/>
  <c r="G9" i="6"/>
  <c r="K29" i="6"/>
  <c r="J29" i="6"/>
  <c r="I29" i="6"/>
  <c r="H29" i="6"/>
  <c r="G29" i="6"/>
  <c r="K42" i="6"/>
  <c r="J42" i="6"/>
  <c r="I42" i="6"/>
  <c r="H42" i="6"/>
  <c r="G42" i="6"/>
  <c r="K38" i="6"/>
  <c r="J38" i="6"/>
  <c r="I38" i="6"/>
  <c r="H38" i="6"/>
  <c r="G38" i="6"/>
  <c r="K30" i="6"/>
  <c r="J30" i="6"/>
  <c r="I30" i="6"/>
  <c r="H30" i="6"/>
  <c r="G30" i="6"/>
  <c r="K41" i="6"/>
  <c r="J41" i="6"/>
  <c r="I41" i="6"/>
  <c r="H41" i="6"/>
  <c r="G41" i="6"/>
  <c r="K43" i="6"/>
  <c r="J43" i="6"/>
  <c r="I43" i="6"/>
  <c r="H43" i="6"/>
  <c r="G43" i="6"/>
  <c r="K28" i="6"/>
  <c r="J28" i="6"/>
  <c r="I28" i="6"/>
  <c r="H28" i="6"/>
  <c r="G28" i="6"/>
  <c r="K15" i="6"/>
  <c r="J15" i="6"/>
  <c r="I15" i="6"/>
  <c r="H15" i="6"/>
  <c r="G15" i="6"/>
  <c r="K45" i="6"/>
  <c r="J45" i="6"/>
  <c r="I45" i="6"/>
  <c r="H45" i="6"/>
  <c r="G45" i="6"/>
</calcChain>
</file>

<file path=xl/sharedStrings.xml><?xml version="1.0" encoding="utf-8"?>
<sst xmlns="http://schemas.openxmlformats.org/spreadsheetml/2006/main" count="412" uniqueCount="307">
  <si>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</si>
  <si>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</si>
  <si>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</si>
  <si>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</si>
  <si>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</si>
  <si>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</si>
  <si>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</si>
  <si>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</si>
  <si>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</si>
  <si>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</si>
  <si>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</si>
  <si>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</si>
  <si>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</si>
  <si>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</si>
  <si>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</si>
  <si>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</si>
  <si>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</si>
  <si>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</si>
  <si>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</si>
  <si>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</si>
  <si>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</si>
  <si>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</si>
  <si>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</si>
  <si>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</si>
  <si>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</si>
  <si>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</si>
  <si>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</si>
  <si>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</si>
  <si>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</si>
  <si>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</si>
  <si>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</si>
  <si>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</si>
  <si>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</si>
  <si>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</si>
  <si>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</si>
  <si>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</si>
  <si>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</si>
  <si>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</si>
  <si>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</si>
  <si>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</si>
  <si>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</si>
  <si>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</si>
  <si>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</si>
  <si>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</si>
  <si>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</si>
  <si>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</si>
  <si>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</si>
  <si>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</si>
  <si>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</si>
  <si>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</si>
  <si>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</si>
  <si>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</si>
  <si>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</si>
  <si>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</si>
  <si>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</si>
  <si>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</si>
  <si>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</si>
  <si>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</si>
  <si>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</si>
  <si>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</si>
  <si>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</si>
  <si>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</si>
  <si>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</si>
  <si>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</si>
  <si>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</si>
  <si>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</si>
  <si>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</si>
  <si>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</si>
  <si>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</si>
  <si>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</si>
  <si>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</si>
  <si>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</si>
  <si>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</si>
  <si>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</si>
  <si>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</si>
  <si>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</si>
  <si>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</si>
  <si>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</si>
  <si>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</si>
  <si>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</si>
  <si>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</si>
  <si>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</si>
  <si>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</si>
  <si>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</si>
  <si>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</si>
  <si>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</si>
  <si>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</si>
  <si>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</si>
  <si>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</si>
  <si>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</si>
  <si>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</si>
  <si>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</si>
  <si>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</si>
  <si>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</si>
  <si>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</si>
  <si>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</si>
  <si>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</si>
  <si>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</si>
  <si>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</si>
  <si>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</si>
  <si>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</si>
  <si>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</si>
  <si>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</si>
  <si>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</si>
  <si>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</si>
  <si>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</si>
  <si>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</si>
  <si>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</si>
  <si>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</si>
  <si>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</si>
  <si>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</si>
  <si>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</si>
  <si>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</si>
  <si>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</si>
  <si>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</si>
  <si>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</si>
  <si>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</si>
  <si>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</si>
  <si>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</si>
  <si>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</si>
  <si>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</si>
  <si>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</si>
  <si>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</si>
  <si>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</si>
  <si>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</si>
  <si>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</si>
  <si>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</si>
  <si>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</si>
  <si>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</si>
  <si>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</si>
  <si>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</si>
  <si>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</si>
  <si>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</si>
  <si>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</si>
  <si>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</si>
  <si>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</si>
  <si>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</si>
  <si>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</si>
  <si>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</si>
  <si>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</si>
  <si>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</si>
  <si>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</si>
  <si>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</si>
  <si>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</si>
  <si>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</si>
  <si>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</si>
  <si>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</si>
  <si>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</si>
  <si>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</si>
  <si>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</si>
  <si>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</si>
  <si>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</si>
  <si>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</si>
  <si>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</si>
  <si>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</si>
  <si>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</si>
  <si>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</si>
  <si>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</si>
  <si>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</si>
  <si>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</si>
  <si>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</si>
  <si>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</si>
  <si>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</si>
  <si>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</si>
  <si>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</si>
  <si>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</si>
  <si>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</si>
  <si>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</si>
  <si>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</si>
  <si>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</si>
  <si>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</si>
  <si>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</si>
  <si>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</si>
  <si>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</si>
  <si>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</si>
  <si>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</si>
  <si>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</si>
  <si>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</si>
  <si>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</si>
  <si>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</si>
  <si>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</si>
  <si>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</si>
  <si>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</si>
  <si>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</si>
  <si>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</si>
  <si>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</si>
  <si>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</si>
  <si>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</si>
  <si>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</si>
  <si>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</si>
  <si>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</si>
  <si>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</si>
  <si>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</si>
  <si>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</si>
  <si>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</si>
  <si>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</si>
  <si>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</si>
  <si>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</si>
  <si>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</si>
  <si>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</si>
  <si>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</si>
  <si>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</si>
  <si>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</si>
  <si>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</si>
  <si>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</si>
  <si>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</si>
  <si>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</si>
  <si>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</si>
  <si>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</si>
  <si>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</si>
  <si>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</si>
  <si>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</si>
  <si>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</si>
  <si>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</si>
  <si>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</si>
  <si>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</si>
  <si>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</si>
  <si>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</si>
  <si>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</si>
  <si>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</si>
  <si>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</si>
  <si>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</si>
  <si>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</si>
  <si>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</si>
  <si>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</si>
  <si>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</si>
  <si>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</si>
  <si>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</si>
  <si>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</si>
  <si>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</si>
  <si>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</si>
  <si>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</si>
  <si>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</si>
  <si>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</si>
  <si>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</si>
  <si>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</si>
  <si>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</si>
  <si>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</si>
  <si>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</si>
  <si>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</si>
  <si>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</si>
  <si>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</si>
  <si>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</si>
  <si>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</si>
  <si>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</si>
  <si>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</si>
  <si>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</si>
  <si>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</si>
  <si>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</si>
  <si>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</si>
  <si>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</si>
  <si>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</si>
  <si>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</si>
  <si>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</si>
  <si>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</si>
  <si>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</si>
  <si>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</si>
  <si>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</si>
  <si>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</si>
  <si>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</si>
  <si>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</si>
  <si>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</si>
  <si>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</si>
  <si>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</si>
  <si>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</si>
  <si>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</si>
  <si>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</si>
  <si>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</si>
  <si>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</si>
  <si>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</si>
  <si>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</si>
  <si>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</si>
  <si>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</si>
  <si>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</si>
  <si>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</si>
  <si>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</si>
  <si>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</si>
  <si>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</si>
  <si>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</si>
  <si>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</si>
  <si>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</si>
  <si>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</si>
  <si>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</si>
  <si>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</si>
  <si>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</si>
  <si>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</si>
  <si>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</si>
  <si>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</si>
  <si>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</si>
  <si>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</si>
  <si>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</si>
  <si>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</si>
  <si>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</si>
  <si>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</si>
  <si>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</si>
  <si>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</si>
  <si>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</si>
  <si>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</si>
  <si>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</si>
  <si>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</si>
  <si>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</si>
  <si>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</si>
  <si>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</si>
  <si>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</si>
  <si>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MASTER/SINGLE IMPORT</t>
  </si>
  <si>
    <t>SLAVE IMPORT</t>
  </si>
  <si>
    <t>MA330045_P33CH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</si>
</sst>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25.42578125" customWidth="1"/>
    <col min="12" max="12" width="9.5703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19.7109375" customWidth="1"/>
    <col min="24" max="24" width="18.28515625" customWidth="1"/>
  </cols>
  <sheetData>
    <row r="1" spans="1:24" s="30" customFormat="1" x14ac:dyDescent="0.25">
      <c r="L1" s="34"/>
    </row>
    <row r="2" spans="1:24" s="30" customFormat="1" x14ac:dyDescent="0.25">
      <c r="A2" s="31" t="s">
        <v>257</v>
      </c>
      <c r="B2" s="52" t="s">
        <v>260</v>
      </c>
      <c r="C2" s="52"/>
      <c r="D2" s="52"/>
      <c r="L2" s="34"/>
    </row>
    <row r="3" spans="1:24" s="30" customFormat="1" x14ac:dyDescent="0.25">
      <c r="A3" s="31" t="s">
        <v>250</v>
      </c>
      <c r="B3" s="65" t="s">
        <v>306</v>
      </c>
      <c r="C3" s="65"/>
      <c r="D3" s="65"/>
      <c r="L3" s="34"/>
    </row>
    <row r="4" spans="1:24" s="30" customFormat="1" x14ac:dyDescent="0.25">
      <c r="A4" s="31" t="s">
        <v>262</v>
      </c>
      <c r="B4" s="65">
        <v>10</v>
      </c>
      <c r="C4" s="65"/>
      <c r="D4" s="65"/>
      <c r="L4" s="34"/>
    </row>
    <row r="5" spans="1:24" s="30" customFormat="1" x14ac:dyDescent="0.25">
      <c r="A5" s="31" t="s">
        <v>251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252</v>
      </c>
      <c r="C6" s="44">
        <v>38</v>
      </c>
      <c r="D6" s="40"/>
      <c r="L6" s="34"/>
    </row>
    <row r="7" spans="1:24" x14ac:dyDescent="0.25">
      <c r="A7" s="53" t="s">
        <v>95</v>
      </c>
      <c r="B7" s="54"/>
      <c r="C7" s="54"/>
      <c r="D7" s="55"/>
      <c r="E7" s="15" t="s">
        <v>261</v>
      </c>
      <c r="F7" s="15" t="s">
        <v>241</v>
      </c>
      <c r="G7" s="56" t="s">
        <v>235</v>
      </c>
      <c r="H7" s="57"/>
      <c r="I7" s="57"/>
      <c r="J7" s="57"/>
      <c r="K7" s="58"/>
      <c r="L7" s="35" t="s">
        <v>239</v>
      </c>
      <c r="M7" s="59" t="s">
        <v>93</v>
      </c>
      <c r="N7" s="60"/>
      <c r="O7" s="60"/>
      <c r="P7" s="60"/>
      <c r="Q7" s="61"/>
      <c r="R7" s="62" t="s">
        <v>94</v>
      </c>
      <c r="S7" s="63"/>
      <c r="T7" s="63"/>
      <c r="U7" s="63"/>
      <c r="V7" s="64"/>
      <c r="W7" t="s">
        <v>304</v>
      </c>
      <c r="X7" t="s">
        <v>305</v>
      </c>
    </row>
    <row r="8" spans="1:24" s="39" customFormat="1" x14ac:dyDescent="0.25">
      <c r="A8" s="45" t="s">
        <v>8</v>
      </c>
      <c r="B8" s="46" t="s">
        <v>9</v>
      </c>
      <c r="C8" s="46" t="s">
        <v>217</v>
      </c>
      <c r="D8" s="47" t="s">
        <v>60</v>
      </c>
      <c r="E8" s="48" t="s">
        <v>8</v>
      </c>
      <c r="F8" s="48" t="s">
        <v>8</v>
      </c>
      <c r="G8" s="49" t="s">
        <v>89</v>
      </c>
      <c r="H8" s="50" t="s">
        <v>90</v>
      </c>
      <c r="I8" s="50" t="s">
        <v>198</v>
      </c>
      <c r="J8" s="50" t="s">
        <v>209</v>
      </c>
      <c r="K8" s="51" t="s">
        <v>112</v>
      </c>
      <c r="L8" s="36" t="s">
        <v>242</v>
      </c>
      <c r="M8" s="49" t="s">
        <v>89</v>
      </c>
      <c r="N8" s="50" t="s">
        <v>90</v>
      </c>
      <c r="O8" s="50" t="s">
        <v>198</v>
      </c>
      <c r="P8" s="50" t="s">
        <v>209</v>
      </c>
      <c r="Q8" s="51" t="s">
        <v>112</v>
      </c>
      <c r="R8" s="49" t="s">
        <v>89</v>
      </c>
      <c r="S8" s="50" t="s">
        <v>90</v>
      </c>
      <c r="T8" s="50" t="s">
        <v>198</v>
      </c>
      <c r="U8" s="50" t="s">
        <v>209</v>
      </c>
      <c r="V8" s="51" t="s">
        <v>112</v>
      </c>
    </row>
    <row r="9" spans="1:24" x14ac:dyDescent="0.25">
      <c r="A9" s="1">
        <v>8</v>
      </c>
      <c r="B9" s="2" t="s">
        <v>16</v>
      </c>
      <c r="C9" s="3"/>
      <c r="D9" s="4"/>
      <c r="E9" s="32" t="s">
        <v>246</v>
      </c>
      <c r="F9" s="33" t="s">
        <v>237</v>
      </c>
      <c r="G9" s="5" t="str">
        <f t="shared" ref="G9:G40" si="0" xml:space="preserve"> IF(IF(F9="MSTR", M9, R9) = 0, "", IF(F9="MSTR", M9, R9))</f>
        <v/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PCI22</v>
      </c>
      <c r="L9" s="38">
        <f xml:space="preserve"> IF(F9=Settings!$A$2, 1, IF(F9=Settings!$A$3, 2,  IF(F9=Settings!$A$4, 0, "")))</f>
        <v>1</v>
      </c>
      <c r="M9" s="5"/>
      <c r="N9" s="6"/>
      <c r="O9" s="6"/>
      <c r="P9" s="6"/>
      <c r="Q9" s="8" t="s">
        <v>67</v>
      </c>
      <c r="R9" s="9"/>
      <c r="S9" s="7"/>
      <c r="T9" s="7"/>
      <c r="U9" s="7"/>
      <c r="V9" s="8" t="s">
        <v>96</v>
      </c>
    </row>
    <row r="10" spans="1:24" x14ac:dyDescent="0.25">
      <c r="A10" s="1">
        <v>12</v>
      </c>
      <c r="B10" s="2" t="s">
        <v>3</v>
      </c>
      <c r="C10" s="3"/>
      <c r="D10" s="4"/>
      <c r="E10" s="32" t="s">
        <v>247</v>
      </c>
      <c r="F10" s="33" t="s">
        <v>237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/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/>
      <c r="R10" s="9" t="s">
        <v>204</v>
      </c>
      <c r="S10" s="7" t="s">
        <v>119</v>
      </c>
      <c r="T10" s="7"/>
      <c r="U10" s="7"/>
      <c r="V10" s="8" t="s">
        <v>205</v>
      </c>
    </row>
    <row r="11" spans="1:24" ht="45" x14ac:dyDescent="0.25">
      <c r="A11" s="1">
        <v>33</v>
      </c>
      <c r="B11" s="2" t="s">
        <v>32</v>
      </c>
      <c r="C11" s="3" t="s">
        <v>139</v>
      </c>
      <c r="D11" s="4" t="s">
        <v>149</v>
      </c>
      <c r="E11" s="32" t="s">
        <v>266</v>
      </c>
      <c r="F11" s="33" t="s">
        <v>237</v>
      </c>
      <c r="G11" s="5" t="str">
        <f t="shared" si="0"/>
        <v>AN7</v>
      </c>
      <c r="H11" s="6" t="str">
        <f t="shared" si="1"/>
        <v>0-SHARED</v>
      </c>
      <c r="I11" s="6" t="str">
        <f t="shared" si="2"/>
        <v>CMP1D</v>
      </c>
      <c r="J11" s="6" t="str">
        <f t="shared" si="3"/>
        <v/>
      </c>
      <c r="K11" s="14" t="str">
        <f t="shared" si="4"/>
        <v>DACOUT1/INT0</v>
      </c>
      <c r="L11" s="38">
        <f xml:space="preserve"> IF(F11=Settings!$A$2, 1, IF(F11=Settings!$A$3, 2,  IF(F11=Settings!$A$4, 0, "")))</f>
        <v>1</v>
      </c>
      <c r="M11" s="5" t="s">
        <v>148</v>
      </c>
      <c r="N11" s="7" t="s">
        <v>120</v>
      </c>
      <c r="O11" s="6" t="s">
        <v>208</v>
      </c>
      <c r="P11" s="6"/>
      <c r="Q11" s="8" t="s">
        <v>207</v>
      </c>
      <c r="R11" s="9" t="s">
        <v>230</v>
      </c>
      <c r="S11" s="7" t="s">
        <v>229</v>
      </c>
      <c r="T11" s="7" t="s">
        <v>232</v>
      </c>
      <c r="U11" s="7"/>
      <c r="V11" s="8" t="s">
        <v>231</v>
      </c>
    </row>
    <row r="12" spans="1:24" x14ac:dyDescent="0.25">
      <c r="A12" s="1">
        <v>32</v>
      </c>
      <c r="B12" s="2" t="s">
        <v>31</v>
      </c>
      <c r="C12" s="3"/>
      <c r="D12" s="4" t="s">
        <v>86</v>
      </c>
      <c r="E12" s="32" t="s">
        <v>265</v>
      </c>
      <c r="F12" s="33" t="s">
        <v>237</v>
      </c>
      <c r="G12" s="5" t="str">
        <f t="shared" si="0"/>
        <v/>
      </c>
      <c r="H12" s="6" t="str">
        <f t="shared" si="1"/>
        <v/>
      </c>
      <c r="I12" s="6" t="str">
        <f t="shared" si="2"/>
        <v/>
      </c>
      <c r="J12" s="6" t="str">
        <f t="shared" si="3"/>
        <v/>
      </c>
      <c r="K12" s="14" t="str">
        <f t="shared" si="4"/>
        <v>ISRC2</v>
      </c>
      <c r="L12" s="38">
        <f xml:space="preserve"> IF(F12=Settings!$A$2, 1, IF(F12=Settings!$A$3, 2,  IF(F12=Settings!$A$4, 0, "")))</f>
        <v>1</v>
      </c>
      <c r="M12" s="5"/>
      <c r="N12" s="6"/>
      <c r="O12" s="6"/>
      <c r="P12" s="6"/>
      <c r="Q12" s="8" t="s">
        <v>147</v>
      </c>
      <c r="R12" s="9" t="s">
        <v>138</v>
      </c>
      <c r="S12" s="7" t="s">
        <v>109</v>
      </c>
      <c r="T12" s="7"/>
      <c r="U12" s="7"/>
      <c r="V12" s="8"/>
    </row>
    <row r="13" spans="1:24" x14ac:dyDescent="0.25">
      <c r="A13" s="1">
        <v>13</v>
      </c>
      <c r="B13" s="2" t="s">
        <v>18</v>
      </c>
      <c r="C13" s="3"/>
      <c r="D13" s="4" t="s">
        <v>78</v>
      </c>
      <c r="E13" s="32" t="s">
        <v>268</v>
      </c>
      <c r="F13" s="33" t="s">
        <v>237</v>
      </c>
      <c r="G13" s="5" t="str">
        <f t="shared" si="0"/>
        <v>AN12</v>
      </c>
      <c r="H13" s="6" t="str">
        <f t="shared" si="1"/>
        <v>0-SHARED</v>
      </c>
      <c r="I13" s="6" t="str">
        <f t="shared" si="2"/>
        <v/>
      </c>
      <c r="J13" s="6" t="str">
        <f t="shared" si="3"/>
        <v/>
      </c>
      <c r="K13" s="14" t="str">
        <f t="shared" si="4"/>
        <v>IBIAS3</v>
      </c>
      <c r="L13" s="38">
        <f xml:space="preserve"> IF(F13=Settings!$A$2, 1, IF(F13=Settings!$A$3, 2,  IF(F13=Settings!$A$4, 0, "")))</f>
        <v>1</v>
      </c>
      <c r="M13" s="5" t="s">
        <v>91</v>
      </c>
      <c r="N13" s="7" t="s">
        <v>120</v>
      </c>
      <c r="O13" s="7"/>
      <c r="P13" s="7"/>
      <c r="Q13" s="8" t="s">
        <v>92</v>
      </c>
      <c r="R13" s="9" t="s">
        <v>117</v>
      </c>
      <c r="S13" s="7" t="s">
        <v>109</v>
      </c>
      <c r="T13" s="7"/>
      <c r="U13" s="7"/>
      <c r="V13" s="8"/>
    </row>
    <row r="14" spans="1:24" x14ac:dyDescent="0.25">
      <c r="A14" s="1">
        <v>23</v>
      </c>
      <c r="B14" s="2" t="s">
        <v>25</v>
      </c>
      <c r="C14" s="3"/>
      <c r="D14" s="4" t="s">
        <v>82</v>
      </c>
      <c r="E14" s="32" t="s">
        <v>267</v>
      </c>
      <c r="F14" s="33" t="s">
        <v>237</v>
      </c>
      <c r="G14" s="5" t="str">
        <f t="shared" si="0"/>
        <v>AN14</v>
      </c>
      <c r="H14" s="6" t="str">
        <f t="shared" si="1"/>
        <v>0-SHARED</v>
      </c>
      <c r="I14" s="6" t="str">
        <f t="shared" si="2"/>
        <v/>
      </c>
      <c r="J14" s="6" t="str">
        <f t="shared" si="3"/>
        <v/>
      </c>
      <c r="K14" s="14" t="str">
        <f t="shared" si="4"/>
        <v>ISRC1</v>
      </c>
      <c r="L14" s="38">
        <f xml:space="preserve"> IF(F14=Settings!$A$2, 1, IF(F14=Settings!$A$3, 2,  IF(F14=Settings!$A$4, 0, "")))</f>
        <v>1</v>
      </c>
      <c r="M14" s="5" t="s">
        <v>99</v>
      </c>
      <c r="N14" s="7" t="s">
        <v>120</v>
      </c>
      <c r="O14" s="7"/>
      <c r="P14" s="7"/>
      <c r="Q14" s="8" t="s">
        <v>126</v>
      </c>
      <c r="R14" s="9" t="s">
        <v>127</v>
      </c>
      <c r="S14" s="7" t="s">
        <v>119</v>
      </c>
      <c r="T14" s="7"/>
      <c r="U14" s="7"/>
      <c r="V14" s="8"/>
    </row>
    <row r="15" spans="1:24" x14ac:dyDescent="0.25">
      <c r="A15" s="1">
        <v>27</v>
      </c>
      <c r="B15" s="2" t="s">
        <v>27</v>
      </c>
      <c r="C15" s="3"/>
      <c r="D15" s="4" t="s">
        <v>83</v>
      </c>
      <c r="E15" s="32" t="s">
        <v>269</v>
      </c>
      <c r="F15" s="33" t="s">
        <v>237</v>
      </c>
      <c r="G15" s="5" t="str">
        <f t="shared" si="0"/>
        <v/>
      </c>
      <c r="H15" s="6" t="str">
        <f t="shared" si="1"/>
        <v/>
      </c>
      <c r="I15" s="6" t="str">
        <f t="shared" si="2"/>
        <v>CMP1B</v>
      </c>
      <c r="J15" s="6" t="str">
        <f t="shared" si="3"/>
        <v/>
      </c>
      <c r="K15" s="14" t="str">
        <f t="shared" si="4"/>
        <v/>
      </c>
      <c r="L15" s="38">
        <f xml:space="preserve"> IF(F15=Settings!$A$2, 1, IF(F15=Settings!$A$3, 2,  IF(F15=Settings!$A$4, 0, "")))</f>
        <v>1</v>
      </c>
      <c r="M15" s="5"/>
      <c r="N15" s="6"/>
      <c r="O15" s="6" t="s">
        <v>111</v>
      </c>
      <c r="P15" s="6"/>
      <c r="Q15" s="8"/>
      <c r="R15" s="9" t="s">
        <v>133</v>
      </c>
      <c r="S15" s="7" t="s">
        <v>109</v>
      </c>
      <c r="T15" s="7" t="s">
        <v>141</v>
      </c>
      <c r="U15" s="7"/>
      <c r="V15" s="8"/>
    </row>
    <row r="16" spans="1:24" x14ac:dyDescent="0.25">
      <c r="A16" s="1">
        <v>30</v>
      </c>
      <c r="B16" s="2" t="s">
        <v>7</v>
      </c>
      <c r="C16" s="3"/>
      <c r="D16" s="4"/>
      <c r="E16" s="32" t="s">
        <v>270</v>
      </c>
      <c r="F16" s="33" t="s">
        <v>237</v>
      </c>
      <c r="G16" s="5" t="str">
        <f t="shared" si="0"/>
        <v/>
      </c>
      <c r="H16" s="6" t="str">
        <f t="shared" si="1"/>
        <v/>
      </c>
      <c r="I16" s="6" t="str">
        <f t="shared" si="2"/>
        <v/>
      </c>
      <c r="J16" s="6" t="str">
        <f t="shared" si="3"/>
        <v/>
      </c>
      <c r="K16" s="14" t="str">
        <f t="shared" si="4"/>
        <v/>
      </c>
      <c r="L16" s="38">
        <f xml:space="preserve"> IF(F16=Settings!$A$2, 1, IF(F16=Settings!$A$3, 2,  IF(F16=Settings!$A$4, 0, "")))</f>
        <v>1</v>
      </c>
      <c r="M16" s="5"/>
      <c r="N16" s="6"/>
      <c r="O16" s="6"/>
      <c r="P16" s="6"/>
      <c r="Q16" s="8"/>
      <c r="R16" s="9" t="s">
        <v>136</v>
      </c>
      <c r="S16" s="7" t="s">
        <v>109</v>
      </c>
      <c r="T16" s="7"/>
      <c r="U16" s="7"/>
      <c r="V16" s="8" t="s">
        <v>145</v>
      </c>
    </row>
    <row r="17" spans="1:22" x14ac:dyDescent="0.25">
      <c r="A17" s="1">
        <v>22</v>
      </c>
      <c r="B17" s="2" t="s">
        <v>24</v>
      </c>
      <c r="C17" s="3"/>
      <c r="D17" s="4" t="s">
        <v>81</v>
      </c>
      <c r="E17" s="32" t="s">
        <v>271</v>
      </c>
      <c r="F17" s="33" t="s">
        <v>237</v>
      </c>
      <c r="G17" s="5" t="str">
        <f t="shared" si="0"/>
        <v>AN13</v>
      </c>
      <c r="H17" s="6" t="str">
        <f t="shared" si="1"/>
        <v>0-SHARED</v>
      </c>
      <c r="I17" s="6" t="str">
        <f t="shared" si="2"/>
        <v/>
      </c>
      <c r="J17" s="6" t="str">
        <f t="shared" si="3"/>
        <v/>
      </c>
      <c r="K17" s="14" t="str">
        <f t="shared" si="4"/>
        <v>ISRC0</v>
      </c>
      <c r="L17" s="38">
        <f xml:space="preserve"> IF(F17=Settings!$A$2, 1, IF(F17=Settings!$A$3, 2,  IF(F17=Settings!$A$4, 0, "")))</f>
        <v>1</v>
      </c>
      <c r="M17" s="5" t="s">
        <v>104</v>
      </c>
      <c r="N17" s="7" t="s">
        <v>120</v>
      </c>
      <c r="O17" s="7"/>
      <c r="P17" s="7"/>
      <c r="Q17" s="8" t="s">
        <v>125</v>
      </c>
      <c r="R17" s="9" t="s">
        <v>128</v>
      </c>
      <c r="S17" s="7" t="s">
        <v>122</v>
      </c>
      <c r="T17" s="7"/>
      <c r="U17" s="7"/>
      <c r="V17" s="8"/>
    </row>
    <row r="18" spans="1:22" x14ac:dyDescent="0.25">
      <c r="A18" s="1">
        <v>16</v>
      </c>
      <c r="B18" s="2" t="s">
        <v>21</v>
      </c>
      <c r="C18" s="3"/>
      <c r="D18" s="4"/>
      <c r="E18" s="32" t="s">
        <v>272</v>
      </c>
      <c r="F18" s="33" t="s">
        <v>237</v>
      </c>
      <c r="G18" s="5" t="str">
        <f t="shared" si="0"/>
        <v>AN2</v>
      </c>
      <c r="H18" s="6" t="str">
        <f t="shared" si="1"/>
        <v>0-SHARED</v>
      </c>
      <c r="I18" s="6" t="str">
        <f t="shared" si="2"/>
        <v/>
      </c>
      <c r="J18" s="6" t="str">
        <f t="shared" si="3"/>
        <v/>
      </c>
      <c r="K18" s="14" t="str">
        <f t="shared" si="4"/>
        <v/>
      </c>
      <c r="L18" s="38">
        <f xml:space="preserve"> IF(F18=Settings!$A$2, 1, IF(F18=Settings!$A$3, 2,  IF(F18=Settings!$A$4, 0, "")))</f>
        <v>1</v>
      </c>
      <c r="M18" s="5" t="s">
        <v>70</v>
      </c>
      <c r="N18" s="7" t="s">
        <v>120</v>
      </c>
      <c r="O18" s="7"/>
      <c r="P18" s="7"/>
      <c r="Q18" s="8"/>
      <c r="R18" s="9" t="s">
        <v>115</v>
      </c>
      <c r="S18" s="7" t="s">
        <v>109</v>
      </c>
      <c r="T18" s="7"/>
      <c r="U18" s="7"/>
      <c r="V18" s="8"/>
    </row>
    <row r="19" spans="1:22" x14ac:dyDescent="0.25">
      <c r="A19" s="1">
        <v>17</v>
      </c>
      <c r="B19" s="2" t="s">
        <v>22</v>
      </c>
      <c r="C19" s="3"/>
      <c r="D19" s="4"/>
      <c r="E19" s="32" t="s">
        <v>273</v>
      </c>
      <c r="F19" s="33" t="s">
        <v>237</v>
      </c>
      <c r="G19" s="5" t="str">
        <f t="shared" si="0"/>
        <v>AN3</v>
      </c>
      <c r="H19" s="6" t="str">
        <f t="shared" si="1"/>
        <v>0-SHARED</v>
      </c>
      <c r="I19" s="6" t="str">
        <f t="shared" si="2"/>
        <v/>
      </c>
      <c r="J19" s="6" t="str">
        <f t="shared" si="3"/>
        <v/>
      </c>
      <c r="K19" s="14" t="str">
        <f t="shared" si="4"/>
        <v>IBIAS0</v>
      </c>
      <c r="L19" s="38">
        <f xml:space="preserve"> IF(F19=Settings!$A$2, 1, IF(F19=Settings!$A$3, 2,  IF(F19=Settings!$A$4, 0, "")))</f>
        <v>1</v>
      </c>
      <c r="M19" s="5" t="s">
        <v>110</v>
      </c>
      <c r="N19" s="7" t="s">
        <v>120</v>
      </c>
      <c r="O19" s="7"/>
      <c r="P19" s="7"/>
      <c r="Q19" s="8" t="s">
        <v>79</v>
      </c>
      <c r="R19" s="9" t="s">
        <v>118</v>
      </c>
      <c r="S19" s="7" t="s">
        <v>119</v>
      </c>
      <c r="T19" s="7" t="s">
        <v>200</v>
      </c>
      <c r="U19" s="7"/>
      <c r="V19" s="8" t="s">
        <v>199</v>
      </c>
    </row>
    <row r="20" spans="1:22" x14ac:dyDescent="0.25">
      <c r="A20" s="1">
        <v>15</v>
      </c>
      <c r="B20" s="2" t="s">
        <v>20</v>
      </c>
      <c r="C20" s="3"/>
      <c r="D20" s="4"/>
      <c r="E20" s="32" t="s">
        <v>264</v>
      </c>
      <c r="F20" s="33" t="s">
        <v>237</v>
      </c>
      <c r="G20" s="5" t="str">
        <f t="shared" si="0"/>
        <v>AN1</v>
      </c>
      <c r="H20" s="6" t="str">
        <f t="shared" si="1"/>
        <v>0-SHARED</v>
      </c>
      <c r="I20" s="6" t="str">
        <f t="shared" si="2"/>
        <v/>
      </c>
      <c r="J20" s="6" t="str">
        <f t="shared" si="3"/>
        <v/>
      </c>
      <c r="K20" s="14" t="str">
        <f t="shared" si="4"/>
        <v/>
      </c>
      <c r="L20" s="38">
        <f xml:space="preserve"> IF(F20=Settings!$A$2, 1, IF(F20=Settings!$A$3, 2,  IF(F20=Settings!$A$4, 0, "")))</f>
        <v>1</v>
      </c>
      <c r="M20" s="5" t="s">
        <v>69</v>
      </c>
      <c r="N20" s="7" t="s">
        <v>120</v>
      </c>
      <c r="O20" s="7"/>
      <c r="P20" s="7"/>
      <c r="Q20" s="8"/>
      <c r="R20" s="9" t="s">
        <v>116</v>
      </c>
      <c r="S20" s="7" t="s">
        <v>109</v>
      </c>
      <c r="T20" s="7"/>
      <c r="U20" s="7"/>
      <c r="V20" s="8"/>
    </row>
    <row r="21" spans="1:22" x14ac:dyDescent="0.25">
      <c r="A21" s="1">
        <v>18</v>
      </c>
      <c r="B21" s="2" t="s">
        <v>23</v>
      </c>
      <c r="C21" s="3" t="s">
        <v>228</v>
      </c>
      <c r="D21" s="4"/>
      <c r="E21" s="32" t="s">
        <v>274</v>
      </c>
      <c r="F21" s="33" t="s">
        <v>237</v>
      </c>
      <c r="G21" s="5" t="str">
        <f t="shared" si="0"/>
        <v>AN4</v>
      </c>
      <c r="H21" s="6" t="str">
        <f t="shared" si="1"/>
        <v>0-SHARED</v>
      </c>
      <c r="I21" s="6" t="str">
        <f t="shared" si="2"/>
        <v/>
      </c>
      <c r="J21" s="6" t="str">
        <f t="shared" si="3"/>
        <v/>
      </c>
      <c r="K21" s="14" t="str">
        <f t="shared" si="4"/>
        <v>IBIAS1</v>
      </c>
      <c r="L21" s="38">
        <f xml:space="preserve"> IF(F21=Settings!$A$2, 1, IF(F21=Settings!$A$3, 2,  IF(F21=Settings!$A$4, 0, "")))</f>
        <v>1</v>
      </c>
      <c r="M21" s="5" t="s">
        <v>103</v>
      </c>
      <c r="N21" s="7" t="s">
        <v>120</v>
      </c>
      <c r="O21" s="7"/>
      <c r="P21" s="7"/>
      <c r="Q21" s="8" t="s">
        <v>80</v>
      </c>
      <c r="R21" s="9" t="s">
        <v>121</v>
      </c>
      <c r="S21" s="7" t="s">
        <v>122</v>
      </c>
      <c r="T21" s="7" t="s">
        <v>201</v>
      </c>
      <c r="U21" s="7"/>
      <c r="V21" s="8" t="s">
        <v>227</v>
      </c>
    </row>
    <row r="22" spans="1:22" x14ac:dyDescent="0.25">
      <c r="A22" s="1">
        <v>14</v>
      </c>
      <c r="B22" s="2" t="s">
        <v>19</v>
      </c>
      <c r="C22" s="3"/>
      <c r="D22" s="4"/>
      <c r="E22" s="32" t="s">
        <v>263</v>
      </c>
      <c r="F22" s="33" t="s">
        <v>237</v>
      </c>
      <c r="G22" s="5" t="str">
        <f t="shared" si="0"/>
        <v>AN0</v>
      </c>
      <c r="H22" s="6" t="str">
        <f t="shared" si="1"/>
        <v>0-SHARED</v>
      </c>
      <c r="I22" s="6" t="str">
        <f t="shared" si="2"/>
        <v>CM1A</v>
      </c>
      <c r="J22" s="6" t="str">
        <f t="shared" si="3"/>
        <v/>
      </c>
      <c r="K22" s="14" t="str">
        <f t="shared" si="4"/>
        <v/>
      </c>
      <c r="L22" s="38">
        <f xml:space="preserve"> IF(F22=Settings!$A$2, 1, IF(F22=Settings!$A$3, 2,  IF(F22=Settings!$A$4, 0, "")))</f>
        <v>1</v>
      </c>
      <c r="M22" s="5" t="s">
        <v>98</v>
      </c>
      <c r="N22" s="7" t="s">
        <v>120</v>
      </c>
      <c r="O22" s="7" t="s">
        <v>202</v>
      </c>
      <c r="P22" s="7"/>
      <c r="Q22" s="8"/>
      <c r="R22" s="9"/>
      <c r="S22" s="7"/>
      <c r="T22" s="7"/>
      <c r="U22" s="7"/>
      <c r="V22" s="8"/>
    </row>
    <row r="23" spans="1:22" x14ac:dyDescent="0.25">
      <c r="A23" s="1">
        <v>31</v>
      </c>
      <c r="B23" s="2" t="s">
        <v>30</v>
      </c>
      <c r="C23" s="3"/>
      <c r="D23" s="4"/>
      <c r="E23" s="32" t="s">
        <v>275</v>
      </c>
      <c r="F23" s="33" t="s">
        <v>237</v>
      </c>
      <c r="G23" s="5" t="str">
        <f t="shared" si="0"/>
        <v/>
      </c>
      <c r="H23" s="6" t="str">
        <f t="shared" si="1"/>
        <v/>
      </c>
      <c r="I23" s="6" t="str">
        <f t="shared" si="2"/>
        <v/>
      </c>
      <c r="J23" s="6" t="str">
        <f t="shared" si="3"/>
        <v/>
      </c>
      <c r="K23" s="14" t="str">
        <f t="shared" si="4"/>
        <v>ISRC3</v>
      </c>
      <c r="L23" s="38">
        <f xml:space="preserve"> IF(F23=Settings!$A$2, 1, IF(F23=Settings!$A$3, 2,  IF(F23=Settings!$A$4, 0, "")))</f>
        <v>1</v>
      </c>
      <c r="M23" s="5"/>
      <c r="N23" s="6"/>
      <c r="O23" s="6"/>
      <c r="P23" s="6"/>
      <c r="Q23" s="8" t="s">
        <v>72</v>
      </c>
      <c r="R23" s="9" t="s">
        <v>137</v>
      </c>
      <c r="S23" s="7" t="s">
        <v>109</v>
      </c>
      <c r="T23" s="7" t="s">
        <v>146</v>
      </c>
      <c r="U23" s="7"/>
      <c r="V23" s="8"/>
    </row>
    <row r="24" spans="1:22" x14ac:dyDescent="0.25">
      <c r="A24" s="1">
        <v>21</v>
      </c>
      <c r="B24" s="2" t="s">
        <v>6</v>
      </c>
      <c r="C24" s="3"/>
      <c r="D24" s="4"/>
      <c r="E24" s="32" t="s">
        <v>276</v>
      </c>
      <c r="F24" s="33" t="s">
        <v>237</v>
      </c>
      <c r="G24" s="5" t="str">
        <f t="shared" si="0"/>
        <v/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/>
      <c r="N24" s="6"/>
      <c r="O24" s="6"/>
      <c r="P24" s="6"/>
      <c r="Q24" s="8"/>
      <c r="R24" s="9" t="s">
        <v>131</v>
      </c>
      <c r="S24" s="7" t="s">
        <v>109</v>
      </c>
      <c r="T24" s="7"/>
      <c r="U24" s="7"/>
      <c r="V24" s="8" t="s">
        <v>132</v>
      </c>
    </row>
    <row r="25" spans="1:22" x14ac:dyDescent="0.25">
      <c r="A25" s="1">
        <v>24</v>
      </c>
      <c r="B25" s="2" t="s">
        <v>26</v>
      </c>
      <c r="C25" s="3"/>
      <c r="D25" s="4" t="s">
        <v>71</v>
      </c>
      <c r="E25" s="32" t="s">
        <v>277</v>
      </c>
      <c r="F25" s="33" t="s">
        <v>237</v>
      </c>
      <c r="G25" s="5" t="str">
        <f t="shared" si="0"/>
        <v/>
      </c>
      <c r="H25" s="6" t="str">
        <f t="shared" si="1"/>
        <v/>
      </c>
      <c r="I25" s="6" t="str">
        <f t="shared" si="2"/>
        <v/>
      </c>
      <c r="J25" s="6" t="str">
        <f t="shared" si="3"/>
        <v/>
      </c>
      <c r="K25" s="14" t="str">
        <f t="shared" si="4"/>
        <v/>
      </c>
      <c r="L25" s="38">
        <f xml:space="preserve"> IF(F25=Settings!$A$2, 1, IF(F25=Settings!$A$3, 2,  IF(F25=Settings!$A$4, 0, "")))</f>
        <v>1</v>
      </c>
      <c r="M25" s="5"/>
      <c r="N25" s="6"/>
      <c r="O25" s="6"/>
      <c r="P25" s="6"/>
      <c r="Q25" s="8"/>
      <c r="R25" s="9" t="s">
        <v>130</v>
      </c>
      <c r="S25" s="7" t="s">
        <v>109</v>
      </c>
      <c r="T25" s="7" t="s">
        <v>129</v>
      </c>
      <c r="U25" s="7"/>
      <c r="V25" s="8"/>
    </row>
    <row r="26" spans="1:22" x14ac:dyDescent="0.25">
      <c r="A26" s="1">
        <v>29</v>
      </c>
      <c r="B26" s="2" t="s">
        <v>29</v>
      </c>
      <c r="C26" s="3"/>
      <c r="D26" s="4" t="s">
        <v>85</v>
      </c>
      <c r="E26" s="32" t="s">
        <v>278</v>
      </c>
      <c r="F26" s="33" t="s">
        <v>237</v>
      </c>
      <c r="G26" s="5" t="str">
        <f t="shared" si="0"/>
        <v>AN6</v>
      </c>
      <c r="H26" s="6" t="str">
        <f t="shared" si="1"/>
        <v>0-SHARED</v>
      </c>
      <c r="I26" s="6" t="str">
        <f t="shared" si="2"/>
        <v/>
      </c>
      <c r="J26" s="6" t="str">
        <f t="shared" si="3"/>
        <v/>
      </c>
      <c r="K26" s="14" t="str">
        <f t="shared" si="4"/>
        <v>OSCO/CLKO/IBIAS2</v>
      </c>
      <c r="L26" s="38">
        <f xml:space="preserve"> IF(F26=Settings!$A$2, 1, IF(F26=Settings!$A$3, 2,  IF(F26=Settings!$A$4, 0, "")))</f>
        <v>1</v>
      </c>
      <c r="M26" s="5" t="s">
        <v>143</v>
      </c>
      <c r="N26" s="7" t="s">
        <v>120</v>
      </c>
      <c r="O26" s="7"/>
      <c r="P26" s="7"/>
      <c r="Q26" s="8" t="s">
        <v>144</v>
      </c>
      <c r="R26" s="9" t="s">
        <v>135</v>
      </c>
      <c r="S26" s="7" t="s">
        <v>109</v>
      </c>
      <c r="T26" s="7"/>
      <c r="U26" s="7"/>
      <c r="V26" s="8"/>
    </row>
    <row r="27" spans="1:22" x14ac:dyDescent="0.25">
      <c r="A27" s="1">
        <v>36</v>
      </c>
      <c r="B27" s="2" t="s">
        <v>35</v>
      </c>
      <c r="C27" s="3"/>
      <c r="D27" s="4" t="s">
        <v>107</v>
      </c>
      <c r="E27" s="32" t="s">
        <v>279</v>
      </c>
      <c r="F27" s="33" t="s">
        <v>237</v>
      </c>
      <c r="G27" s="5" t="str">
        <f t="shared" si="0"/>
        <v/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ASDA1/SCK2</v>
      </c>
      <c r="L27" s="38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123</v>
      </c>
      <c r="R27" s="9"/>
      <c r="S27" s="7"/>
      <c r="T27" s="7"/>
      <c r="U27" s="7"/>
      <c r="V27" s="8" t="s">
        <v>163</v>
      </c>
    </row>
    <row r="28" spans="1:22" x14ac:dyDescent="0.25">
      <c r="A28" s="1">
        <v>63</v>
      </c>
      <c r="B28" s="2" t="s">
        <v>58</v>
      </c>
      <c r="C28" s="3"/>
      <c r="D28" s="4" t="s">
        <v>189</v>
      </c>
      <c r="E28" s="32" t="s">
        <v>280</v>
      </c>
      <c r="F28" s="33" t="s">
        <v>237</v>
      </c>
      <c r="G28" s="5" t="str">
        <f t="shared" si="0"/>
        <v/>
      </c>
      <c r="H28" s="6" t="str">
        <f t="shared" si="1"/>
        <v/>
      </c>
      <c r="I28" s="6" t="str">
        <f t="shared" si="2"/>
        <v/>
      </c>
      <c r="J28" s="6" t="str">
        <f t="shared" si="3"/>
        <v>PWM2H</v>
      </c>
      <c r="K28" s="14" t="str">
        <f t="shared" si="4"/>
        <v>TDI</v>
      </c>
      <c r="L28" s="38">
        <f xml:space="preserve"> IF(F28=Settings!$A$2, 1, IF(F28=Settings!$A$3, 2,  IF(F28=Settings!$A$4, 0, "")))</f>
        <v>1</v>
      </c>
      <c r="M28" s="5"/>
      <c r="N28" s="6"/>
      <c r="O28" s="6"/>
      <c r="P28" s="6" t="s">
        <v>212</v>
      </c>
      <c r="Q28" s="8" t="s">
        <v>214</v>
      </c>
      <c r="R28" s="9"/>
      <c r="S28" s="7"/>
      <c r="T28" s="7"/>
      <c r="U28" s="7"/>
      <c r="V28" s="8"/>
    </row>
    <row r="29" spans="1:22" x14ac:dyDescent="0.25">
      <c r="A29" s="1">
        <v>11</v>
      </c>
      <c r="B29" s="2" t="s">
        <v>17</v>
      </c>
      <c r="C29" s="3"/>
      <c r="D29" s="4"/>
      <c r="E29" s="32" t="s">
        <v>281</v>
      </c>
      <c r="F29" s="33" t="s">
        <v>237</v>
      </c>
      <c r="G29" s="5" t="str">
        <f t="shared" si="0"/>
        <v/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PCI21</v>
      </c>
      <c r="L29" s="38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68</v>
      </c>
      <c r="R29" s="9" t="s">
        <v>203</v>
      </c>
      <c r="S29" s="7" t="s">
        <v>122</v>
      </c>
      <c r="T29" s="7"/>
      <c r="U29" s="7"/>
      <c r="V29" s="8" t="s">
        <v>206</v>
      </c>
    </row>
    <row r="30" spans="1:22" x14ac:dyDescent="0.25">
      <c r="A30" s="1">
        <v>64</v>
      </c>
      <c r="B30" s="2" t="s">
        <v>59</v>
      </c>
      <c r="C30" s="3"/>
      <c r="D30" s="4" t="s">
        <v>190</v>
      </c>
      <c r="E30" s="32" t="s">
        <v>282</v>
      </c>
      <c r="F30" s="33" t="s">
        <v>237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>PWM2L</v>
      </c>
      <c r="K30" s="14" t="str">
        <f t="shared" si="4"/>
        <v/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 t="s">
        <v>197</v>
      </c>
      <c r="Q30" s="8"/>
      <c r="R30" s="9"/>
      <c r="S30" s="7"/>
      <c r="T30" s="7"/>
      <c r="U30" s="7"/>
      <c r="V30" s="8"/>
    </row>
    <row r="31" spans="1:22" x14ac:dyDescent="0.25">
      <c r="A31" s="1">
        <v>38</v>
      </c>
      <c r="B31" s="2" t="s">
        <v>37</v>
      </c>
      <c r="C31" s="3"/>
      <c r="D31" s="4"/>
      <c r="E31" s="32" t="s">
        <v>283</v>
      </c>
      <c r="F31" s="33" t="s">
        <v>237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/>
      </c>
      <c r="K31" s="14" t="str">
        <f t="shared" si="4"/>
        <v>PCI20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/>
      <c r="Q31" s="8" t="s">
        <v>73</v>
      </c>
      <c r="R31" s="9"/>
      <c r="S31" s="7"/>
      <c r="T31" s="7"/>
      <c r="U31" s="7"/>
      <c r="V31" s="8" t="s">
        <v>140</v>
      </c>
    </row>
    <row r="32" spans="1:22" x14ac:dyDescent="0.25">
      <c r="A32" s="1">
        <v>43</v>
      </c>
      <c r="B32" s="2" t="s">
        <v>40</v>
      </c>
      <c r="C32" s="3"/>
      <c r="D32" s="4" t="s">
        <v>151</v>
      </c>
      <c r="E32" s="32" t="s">
        <v>284</v>
      </c>
      <c r="F32" s="33" t="s">
        <v>237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/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/>
      <c r="R32" s="9"/>
      <c r="S32" s="7"/>
      <c r="T32" s="7"/>
      <c r="U32" s="7" t="s">
        <v>168</v>
      </c>
      <c r="V32" s="8"/>
    </row>
    <row r="33" spans="1:22" x14ac:dyDescent="0.25">
      <c r="A33" s="1">
        <v>37</v>
      </c>
      <c r="B33" s="2" t="s">
        <v>36</v>
      </c>
      <c r="C33" s="3"/>
      <c r="D33" s="4" t="s">
        <v>108</v>
      </c>
      <c r="E33" s="32" t="s">
        <v>285</v>
      </c>
      <c r="F33" s="33" t="s">
        <v>237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/>
      </c>
      <c r="K33" s="14" t="str">
        <f t="shared" si="4"/>
        <v>ASCL1/SDI2</v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/>
      <c r="Q33" s="8" t="s">
        <v>124</v>
      </c>
      <c r="R33" s="9"/>
      <c r="S33" s="7"/>
      <c r="T33" s="7"/>
      <c r="U33" s="7"/>
      <c r="V33" s="8" t="s">
        <v>164</v>
      </c>
    </row>
    <row r="34" spans="1:22" x14ac:dyDescent="0.25">
      <c r="A34" s="1">
        <v>44</v>
      </c>
      <c r="B34" s="2" t="s">
        <v>41</v>
      </c>
      <c r="C34" s="3"/>
      <c r="D34" s="4" t="s">
        <v>154</v>
      </c>
      <c r="E34" s="32" t="s">
        <v>286</v>
      </c>
      <c r="F34" s="33" t="s">
        <v>237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/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/>
      <c r="R34" s="9"/>
      <c r="S34" s="7"/>
      <c r="T34" s="7"/>
      <c r="U34" s="7" t="s">
        <v>169</v>
      </c>
      <c r="V34" s="8"/>
    </row>
    <row r="35" spans="1:22" x14ac:dyDescent="0.25">
      <c r="A35" s="1">
        <v>62</v>
      </c>
      <c r="B35" s="2" t="s">
        <v>57</v>
      </c>
      <c r="C35" s="3"/>
      <c r="D35" s="4" t="s">
        <v>188</v>
      </c>
      <c r="E35" s="32" t="s">
        <v>287</v>
      </c>
      <c r="F35" s="33" t="s">
        <v>237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PWM3L</v>
      </c>
      <c r="K35" s="14" t="str">
        <f t="shared" si="4"/>
        <v>TCK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243</v>
      </c>
      <c r="Q35" s="8" t="s">
        <v>213</v>
      </c>
      <c r="R35" s="9"/>
      <c r="S35" s="7"/>
      <c r="T35" s="7"/>
      <c r="U35" s="7"/>
      <c r="V35" s="8"/>
    </row>
    <row r="36" spans="1:22" x14ac:dyDescent="0.25">
      <c r="A36" s="1">
        <v>1</v>
      </c>
      <c r="B36" s="2" t="s">
        <v>10</v>
      </c>
      <c r="C36" s="3"/>
      <c r="D36" s="4" t="s">
        <v>61</v>
      </c>
      <c r="E36" s="32" t="s">
        <v>288</v>
      </c>
      <c r="F36" s="33" t="s">
        <v>237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>PWM1H</v>
      </c>
      <c r="K36" s="14" t="str">
        <f t="shared" si="4"/>
        <v/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7" t="s">
        <v>62</v>
      </c>
      <c r="Q36" s="8"/>
      <c r="R36" s="9"/>
      <c r="S36" s="7"/>
      <c r="T36" s="7"/>
      <c r="U36" s="7"/>
      <c r="V36" s="8"/>
    </row>
    <row r="37" spans="1:22" x14ac:dyDescent="0.25">
      <c r="A37" s="1">
        <v>61</v>
      </c>
      <c r="B37" s="2" t="s">
        <v>56</v>
      </c>
      <c r="C37" s="3"/>
      <c r="D37" s="4" t="s">
        <v>187</v>
      </c>
      <c r="E37" s="32" t="s">
        <v>289</v>
      </c>
      <c r="F37" s="33" t="s">
        <v>237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PWM3H</v>
      </c>
      <c r="K37" s="14" t="str">
        <f t="shared" si="4"/>
        <v>TMS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211</v>
      </c>
      <c r="Q37" s="8" t="s">
        <v>210</v>
      </c>
      <c r="R37" s="9"/>
      <c r="S37" s="7"/>
      <c r="T37" s="7"/>
      <c r="U37" s="7"/>
      <c r="V37" s="8"/>
    </row>
    <row r="38" spans="1:22" x14ac:dyDescent="0.25">
      <c r="A38" s="1">
        <v>54</v>
      </c>
      <c r="B38" s="2" t="s">
        <v>51</v>
      </c>
      <c r="C38" s="3"/>
      <c r="D38" s="4" t="s">
        <v>182</v>
      </c>
      <c r="E38" s="32" t="s">
        <v>290</v>
      </c>
      <c r="F38" s="33" t="s">
        <v>237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/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/>
      <c r="R38" s="9"/>
      <c r="S38" s="7"/>
      <c r="T38" s="7"/>
      <c r="U38" s="7" t="s">
        <v>192</v>
      </c>
      <c r="V38" s="8"/>
    </row>
    <row r="39" spans="1:22" x14ac:dyDescent="0.25">
      <c r="A39" s="1">
        <v>2</v>
      </c>
      <c r="B39" s="2" t="s">
        <v>11</v>
      </c>
      <c r="C39" s="3"/>
      <c r="D39" s="4" t="s">
        <v>63</v>
      </c>
      <c r="E39" s="32" t="s">
        <v>291</v>
      </c>
      <c r="F39" s="33" t="s">
        <v>237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PWM1L</v>
      </c>
      <c r="K39" s="14" t="str">
        <f t="shared" si="4"/>
        <v/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7" t="s">
        <v>74</v>
      </c>
      <c r="Q39" s="8"/>
      <c r="R39" s="9"/>
      <c r="S39" s="7"/>
      <c r="T39" s="7"/>
      <c r="U39" s="7"/>
      <c r="V39" s="8"/>
    </row>
    <row r="40" spans="1:22" x14ac:dyDescent="0.25">
      <c r="A40" s="1">
        <v>58</v>
      </c>
      <c r="B40" s="2" t="s">
        <v>53</v>
      </c>
      <c r="C40" s="3"/>
      <c r="D40" s="4" t="s">
        <v>184</v>
      </c>
      <c r="E40" s="32" t="s">
        <v>292</v>
      </c>
      <c r="F40" s="33" t="s">
        <v>237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/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/>
      <c r="R40" s="9"/>
      <c r="S40" s="7"/>
      <c r="T40" s="7"/>
      <c r="U40" s="7" t="s">
        <v>194</v>
      </c>
      <c r="V40" s="8"/>
    </row>
    <row r="41" spans="1:22" x14ac:dyDescent="0.25">
      <c r="A41" s="1">
        <v>51</v>
      </c>
      <c r="B41" s="2" t="s">
        <v>48</v>
      </c>
      <c r="C41" s="3"/>
      <c r="D41" s="4" t="s">
        <v>161</v>
      </c>
      <c r="E41" s="32" t="s">
        <v>293</v>
      </c>
      <c r="F41" s="33" t="s">
        <v>237</v>
      </c>
      <c r="G41" s="5" t="str">
        <f t="shared" ref="G41:G57" si="5" xml:space="preserve"> IF(IF(F41="MSTR", M41, R41) = 0, "", IF(F41="MSTR", M41, R41))</f>
        <v/>
      </c>
      <c r="H41" s="6" t="str">
        <f t="shared" ref="H41:H57" si="6" xml:space="preserve"> IF(IF(F41="MSTR", N41, S41) = 0, "", IF(F41="MSTR", N41, S41))</f>
        <v/>
      </c>
      <c r="I41" s="6" t="str">
        <f t="shared" ref="I41:I57" si="7" xml:space="preserve"> IF(IF(F41="MSTR", O41, T41) = 0, "", IF(F41="MSTR", O41, T41))</f>
        <v/>
      </c>
      <c r="J41" s="6" t="str">
        <f t="shared" ref="J41:J57" si="8" xml:space="preserve"> IF(IF(F41="MSTR", P41, U41) = 0, "", IF(F41="MSTR", P41, U41))</f>
        <v/>
      </c>
      <c r="K41" s="14" t="str">
        <f t="shared" ref="K41:K57" si="9" xml:space="preserve"> IF(IF(F41="MSTR", Q41, V41) = 0, "", IF(F41="MSTR", Q41, V41))</f>
        <v/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/>
      <c r="Q41" s="8"/>
      <c r="R41" s="9"/>
      <c r="S41" s="7"/>
      <c r="T41" s="7"/>
      <c r="U41" s="7" t="s">
        <v>179</v>
      </c>
      <c r="V41" s="8"/>
    </row>
    <row r="42" spans="1:22" x14ac:dyDescent="0.25">
      <c r="A42" s="1">
        <v>55</v>
      </c>
      <c r="B42" s="2" t="s">
        <v>52</v>
      </c>
      <c r="C42" s="3"/>
      <c r="D42" s="4" t="s">
        <v>183</v>
      </c>
      <c r="E42" s="32" t="s">
        <v>294</v>
      </c>
      <c r="F42" s="33" t="s">
        <v>237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/>
      </c>
      <c r="K42" s="14" t="str">
        <f t="shared" si="9"/>
        <v/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/>
      <c r="Q42" s="8"/>
      <c r="R42" s="9"/>
      <c r="S42" s="7"/>
      <c r="T42" s="7"/>
      <c r="U42" s="7" t="s">
        <v>193</v>
      </c>
      <c r="V42" s="8"/>
    </row>
    <row r="43" spans="1:22" x14ac:dyDescent="0.25">
      <c r="A43" s="1">
        <v>50</v>
      </c>
      <c r="B43" s="2" t="s">
        <v>47</v>
      </c>
      <c r="C43" s="3"/>
      <c r="D43" s="4" t="s">
        <v>160</v>
      </c>
      <c r="E43" s="32" t="s">
        <v>296</v>
      </c>
      <c r="F43" s="33" t="s">
        <v>237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 t="s">
        <v>178</v>
      </c>
      <c r="V43" s="8"/>
    </row>
    <row r="44" spans="1:22" x14ac:dyDescent="0.25">
      <c r="A44" s="1">
        <v>59</v>
      </c>
      <c r="B44" s="2" t="s">
        <v>54</v>
      </c>
      <c r="C44" s="3"/>
      <c r="D44" s="4" t="s">
        <v>185</v>
      </c>
      <c r="E44" s="32" t="s">
        <v>297</v>
      </c>
      <c r="F44" s="33" t="s">
        <v>237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/>
      </c>
      <c r="K44" s="14" t="str">
        <f t="shared" si="9"/>
        <v/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/>
      <c r="Q44" s="8"/>
      <c r="R44" s="9"/>
      <c r="S44" s="7"/>
      <c r="T44" s="7"/>
      <c r="U44" s="7" t="s">
        <v>195</v>
      </c>
      <c r="V44" s="8"/>
    </row>
    <row r="45" spans="1:22" x14ac:dyDescent="0.25">
      <c r="A45" s="1">
        <v>60</v>
      </c>
      <c r="B45" s="2" t="s">
        <v>55</v>
      </c>
      <c r="C45" s="3"/>
      <c r="D45" s="4" t="s">
        <v>186</v>
      </c>
      <c r="E45" s="32" t="s">
        <v>295</v>
      </c>
      <c r="F45" s="33" t="s">
        <v>237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/>
      </c>
      <c r="K45" s="14" t="str">
        <f t="shared" si="9"/>
        <v/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/>
      <c r="Q45" s="8"/>
      <c r="R45" s="9"/>
      <c r="S45" s="7"/>
      <c r="T45" s="7"/>
      <c r="U45" s="7" t="s">
        <v>196</v>
      </c>
      <c r="V45" s="8"/>
    </row>
    <row r="46" spans="1:22" x14ac:dyDescent="0.25">
      <c r="A46" s="1">
        <v>52</v>
      </c>
      <c r="B46" s="2" t="s">
        <v>49</v>
      </c>
      <c r="C46" s="3"/>
      <c r="D46" s="4" t="s">
        <v>162</v>
      </c>
      <c r="E46" s="32" t="s">
        <v>298</v>
      </c>
      <c r="F46" s="33" t="s">
        <v>237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/>
      </c>
      <c r="K46" s="14" t="str">
        <f t="shared" si="9"/>
        <v/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/>
      <c r="Q46" s="8"/>
      <c r="R46" s="9"/>
      <c r="S46" s="7"/>
      <c r="T46" s="7"/>
      <c r="U46" s="7" t="s">
        <v>180</v>
      </c>
      <c r="V46" s="8"/>
    </row>
    <row r="47" spans="1:22" x14ac:dyDescent="0.25">
      <c r="A47" s="1">
        <v>3</v>
      </c>
      <c r="B47" s="2" t="s">
        <v>12</v>
      </c>
      <c r="C47" s="3"/>
      <c r="D47" s="4" t="s">
        <v>64</v>
      </c>
      <c r="E47" s="32" t="s">
        <v>299</v>
      </c>
      <c r="F47" s="33" t="s">
        <v>237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7" t="s">
        <v>75</v>
      </c>
      <c r="Q47" s="8"/>
      <c r="R47" s="9"/>
      <c r="S47" s="7"/>
      <c r="T47" s="7"/>
      <c r="U47" s="7"/>
      <c r="V47" s="8"/>
    </row>
    <row r="48" spans="1:22" x14ac:dyDescent="0.25">
      <c r="A48" s="1">
        <v>53</v>
      </c>
      <c r="B48" s="2" t="s">
        <v>50</v>
      </c>
      <c r="C48" s="3"/>
      <c r="D48" s="4" t="s">
        <v>181</v>
      </c>
      <c r="E48" s="32" t="s">
        <v>300</v>
      </c>
      <c r="F48" s="33" t="s">
        <v>237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/>
      </c>
      <c r="K48" s="14" t="str">
        <f t="shared" si="9"/>
        <v/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/>
      <c r="Q48" s="8"/>
      <c r="R48" s="9"/>
      <c r="S48" s="7"/>
      <c r="T48" s="7"/>
      <c r="U48" s="7" t="s">
        <v>191</v>
      </c>
      <c r="V48" s="8"/>
    </row>
    <row r="49" spans="1:22" x14ac:dyDescent="0.25">
      <c r="A49" s="1">
        <v>4</v>
      </c>
      <c r="B49" s="2" t="s">
        <v>13</v>
      </c>
      <c r="C49" s="3"/>
      <c r="D49" s="4" t="s">
        <v>77</v>
      </c>
      <c r="E49" s="32" t="s">
        <v>301</v>
      </c>
      <c r="F49" s="33" t="s">
        <v>237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PWM4L</v>
      </c>
      <c r="K49" s="14" t="str">
        <f t="shared" si="9"/>
        <v/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76</v>
      </c>
      <c r="Q49" s="8"/>
      <c r="R49" s="9"/>
      <c r="S49" s="7"/>
      <c r="T49" s="7"/>
      <c r="U49" s="7"/>
      <c r="V49" s="8"/>
    </row>
    <row r="50" spans="1:22" x14ac:dyDescent="0.25">
      <c r="A50" s="1">
        <v>42</v>
      </c>
      <c r="B50" s="2" t="s">
        <v>39</v>
      </c>
      <c r="C50" s="3"/>
      <c r="D50" s="4" t="s">
        <v>150</v>
      </c>
      <c r="E50" s="32" t="s">
        <v>302</v>
      </c>
      <c r="F50" s="33" t="s">
        <v>237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/>
      </c>
      <c r="K50" s="14" t="str">
        <f t="shared" si="9"/>
        <v/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6"/>
      <c r="Q50" s="8"/>
      <c r="R50" s="9"/>
      <c r="S50" s="7"/>
      <c r="T50" s="7"/>
      <c r="U50" s="7" t="s">
        <v>167</v>
      </c>
      <c r="V50" s="8"/>
    </row>
    <row r="51" spans="1:22" x14ac:dyDescent="0.25">
      <c r="A51" s="1">
        <v>39</v>
      </c>
      <c r="B51" s="2" t="s">
        <v>38</v>
      </c>
      <c r="C51" s="3"/>
      <c r="D51" s="4"/>
      <c r="E51" s="32" t="s">
        <v>303</v>
      </c>
      <c r="F51" s="33" t="s">
        <v>237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/>
      </c>
      <c r="K51" s="14" t="str">
        <f t="shared" si="9"/>
        <v>SDO2/PCI19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6"/>
      <c r="Q51" s="8" t="s">
        <v>165</v>
      </c>
      <c r="R51" s="9"/>
      <c r="S51" s="7"/>
      <c r="T51" s="7"/>
      <c r="U51" s="7"/>
      <c r="V51" s="8" t="s">
        <v>166</v>
      </c>
    </row>
    <row r="52" spans="1:22" x14ac:dyDescent="0.25">
      <c r="A52" s="1">
        <v>35</v>
      </c>
      <c r="B52" s="2" t="s">
        <v>34</v>
      </c>
      <c r="C52" s="3" t="s">
        <v>106</v>
      </c>
      <c r="D52" s="4" t="s">
        <v>88</v>
      </c>
      <c r="E52" s="32" t="s">
        <v>234</v>
      </c>
      <c r="F52" s="33" t="s">
        <v>237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/>
      </c>
      <c r="K52" s="14" t="str">
        <f t="shared" si="9"/>
        <v/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6"/>
      <c r="Q52" s="8"/>
      <c r="R52" s="9" t="s">
        <v>153</v>
      </c>
      <c r="S52" s="7" t="s">
        <v>109</v>
      </c>
      <c r="T52" s="7"/>
      <c r="U52" s="7" t="s">
        <v>218</v>
      </c>
      <c r="V52" s="8"/>
    </row>
    <row r="53" spans="1:22" x14ac:dyDescent="0.25">
      <c r="A53" s="1">
        <v>34</v>
      </c>
      <c r="B53" s="2" t="s">
        <v>33</v>
      </c>
      <c r="C53" s="3" t="s">
        <v>105</v>
      </c>
      <c r="D53" s="4" t="s">
        <v>87</v>
      </c>
      <c r="E53" s="32" t="s">
        <v>233</v>
      </c>
      <c r="F53" s="33" t="s">
        <v>237</v>
      </c>
      <c r="G53" s="5" t="str">
        <f t="shared" si="5"/>
        <v>AN8</v>
      </c>
      <c r="H53" s="6" t="str">
        <f t="shared" si="6"/>
        <v>0-SHARED</v>
      </c>
      <c r="I53" s="6" t="str">
        <f t="shared" si="7"/>
        <v/>
      </c>
      <c r="J53" s="6" t="str">
        <f t="shared" si="8"/>
        <v/>
      </c>
      <c r="K53" s="14" t="str">
        <f t="shared" si="9"/>
        <v/>
      </c>
      <c r="L53" s="38">
        <f xml:space="preserve"> IF(F53=Settings!$A$2, 1, IF(F53=Settings!$A$3, 2,  IF(F53=Settings!$A$4, 0, "")))</f>
        <v>1</v>
      </c>
      <c r="M53" s="5" t="s">
        <v>101</v>
      </c>
      <c r="N53" s="7" t="s">
        <v>120</v>
      </c>
      <c r="O53" s="6"/>
      <c r="P53" s="6"/>
      <c r="Q53" s="8"/>
      <c r="R53" s="9" t="s">
        <v>152</v>
      </c>
      <c r="S53" s="7" t="s">
        <v>109</v>
      </c>
      <c r="T53" s="7" t="s">
        <v>224</v>
      </c>
      <c r="U53" s="7"/>
      <c r="V53" s="8" t="s">
        <v>223</v>
      </c>
    </row>
    <row r="54" spans="1:22" x14ac:dyDescent="0.25">
      <c r="A54" s="1">
        <v>46</v>
      </c>
      <c r="B54" s="2" t="s">
        <v>43</v>
      </c>
      <c r="C54" s="3" t="s">
        <v>156</v>
      </c>
      <c r="D54" s="4" t="s">
        <v>171</v>
      </c>
      <c r="E54" s="32" t="s">
        <v>245</v>
      </c>
      <c r="F54" s="33" t="s">
        <v>237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SCL2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225</v>
      </c>
      <c r="R54" s="9"/>
      <c r="S54" s="7"/>
      <c r="T54" s="7"/>
      <c r="U54" s="7"/>
      <c r="V54" s="8"/>
    </row>
    <row r="55" spans="1:22" x14ac:dyDescent="0.25">
      <c r="A55" s="1">
        <v>45</v>
      </c>
      <c r="B55" s="2" t="s">
        <v>42</v>
      </c>
      <c r="C55" s="3" t="s">
        <v>155</v>
      </c>
      <c r="D55" s="4" t="s">
        <v>170</v>
      </c>
      <c r="E55" s="32" t="s">
        <v>244</v>
      </c>
      <c r="F55" s="33" t="s">
        <v>237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SDA2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226</v>
      </c>
      <c r="R55" s="9"/>
      <c r="S55" s="7"/>
      <c r="T55" s="7"/>
      <c r="U55" s="7"/>
      <c r="V55" s="8"/>
    </row>
    <row r="56" spans="1:22" x14ac:dyDescent="0.25">
      <c r="A56" s="1">
        <v>6</v>
      </c>
      <c r="B56" s="2" t="s">
        <v>15</v>
      </c>
      <c r="C56" s="3"/>
      <c r="D56" s="4" t="s">
        <v>66</v>
      </c>
      <c r="E56" s="32" t="s">
        <v>249</v>
      </c>
      <c r="F56" s="33" t="s">
        <v>237</v>
      </c>
      <c r="G56" s="5" t="str">
        <f t="shared" si="5"/>
        <v/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/>
      <c r="N56" s="6"/>
      <c r="O56" s="6"/>
      <c r="P56" s="6"/>
      <c r="Q56" s="8"/>
      <c r="R56" s="9"/>
      <c r="S56" s="7"/>
      <c r="T56" s="7"/>
      <c r="U56" s="7" t="s">
        <v>114</v>
      </c>
      <c r="V56" s="8"/>
    </row>
    <row r="57" spans="1:22" x14ac:dyDescent="0.25">
      <c r="A57" s="1">
        <v>5</v>
      </c>
      <c r="B57" s="3" t="s">
        <v>14</v>
      </c>
      <c r="C57" s="3"/>
      <c r="D57" s="4" t="s">
        <v>65</v>
      </c>
      <c r="E57" s="32" t="s">
        <v>248</v>
      </c>
      <c r="F57" s="33" t="s">
        <v>237</v>
      </c>
      <c r="G57" s="5" t="str">
        <f t="shared" si="5"/>
        <v/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/>
      </c>
      <c r="L57" s="38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 t="s">
        <v>113</v>
      </c>
      <c r="V57" s="8"/>
    </row>
    <row r="58" spans="1:22" x14ac:dyDescent="0.25">
      <c r="A58" s="1">
        <v>19</v>
      </c>
      <c r="B58" s="2" t="s">
        <v>4</v>
      </c>
      <c r="C58" s="17"/>
      <c r="D58" s="21"/>
      <c r="E58" s="18"/>
      <c r="F58" s="22"/>
      <c r="G58" s="16"/>
      <c r="H58" s="19"/>
      <c r="I58" s="19"/>
      <c r="J58" s="19"/>
      <c r="K58" s="20"/>
      <c r="L58" s="37"/>
      <c r="M58" s="16"/>
      <c r="N58" s="19"/>
      <c r="O58" s="19"/>
      <c r="P58" s="19"/>
      <c r="Q58" s="20"/>
      <c r="R58" s="16"/>
      <c r="S58" s="19"/>
      <c r="T58" s="19"/>
      <c r="U58" s="19"/>
      <c r="V58" s="20"/>
    </row>
    <row r="59" spans="1:22" x14ac:dyDescent="0.25">
      <c r="A59" s="1">
        <v>20</v>
      </c>
      <c r="B59" s="2" t="s">
        <v>5</v>
      </c>
      <c r="C59" s="17"/>
      <c r="D59" s="21"/>
      <c r="E59" s="18"/>
      <c r="F59" s="22"/>
      <c r="G59" s="16"/>
      <c r="H59" s="19"/>
      <c r="I59" s="19"/>
      <c r="J59" s="19"/>
      <c r="K59" s="20"/>
      <c r="L59" s="37"/>
      <c r="M59" s="16"/>
      <c r="N59" s="19"/>
      <c r="O59" s="19"/>
      <c r="P59" s="19"/>
      <c r="Q59" s="20"/>
      <c r="R59" s="16"/>
      <c r="S59" s="19"/>
      <c r="T59" s="19"/>
      <c r="U59" s="19"/>
      <c r="V59" s="20"/>
    </row>
    <row r="60" spans="1:22" x14ac:dyDescent="0.25">
      <c r="A60" s="1">
        <v>7</v>
      </c>
      <c r="B60" s="2" t="s">
        <v>0</v>
      </c>
      <c r="C60" s="3" t="s">
        <v>0</v>
      </c>
      <c r="D60" s="21"/>
      <c r="E60" s="18"/>
      <c r="F60" s="22"/>
      <c r="G60" s="16"/>
      <c r="H60" s="19"/>
      <c r="I60" s="19"/>
      <c r="J60" s="19"/>
      <c r="K60" s="20"/>
      <c r="L60" s="37"/>
      <c r="M60" s="16"/>
      <c r="N60" s="19"/>
      <c r="O60" s="19"/>
      <c r="P60" s="19"/>
      <c r="Q60" s="20"/>
      <c r="R60" s="16"/>
      <c r="S60" s="19"/>
      <c r="T60" s="19"/>
      <c r="U60" s="19"/>
      <c r="V60" s="20"/>
    </row>
    <row r="61" spans="1:22" x14ac:dyDescent="0.25">
      <c r="A61" s="1">
        <v>28</v>
      </c>
      <c r="B61" s="2" t="s">
        <v>28</v>
      </c>
      <c r="C61" s="3"/>
      <c r="D61" s="4" t="s">
        <v>84</v>
      </c>
      <c r="E61" s="32"/>
      <c r="F61" s="33" t="s">
        <v>237</v>
      </c>
      <c r="G61" s="5" t="str">
        <f xml:space="preserve"> IF(IF(F61="MSTR", M61, R61) = 0, "", IF(F61="MSTR", M61, R61))</f>
        <v>AN5</v>
      </c>
      <c r="H61" s="6" t="str">
        <f xml:space="preserve"> IF(IF(F61="MSTR", N61, S61) = 0, "", IF(F61="MSTR", N61, S61))</f>
        <v>0-SHARED</v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OSCI/CLKI</v>
      </c>
      <c r="L61" s="38">
        <f xml:space="preserve"> IF(F61=Settings!$A$2, 1, IF(F61=Settings!$A$3, 2,  IF(F61=Settings!$A$4, 0, "")))</f>
        <v>1</v>
      </c>
      <c r="M61" s="5" t="s">
        <v>102</v>
      </c>
      <c r="N61" s="7" t="s">
        <v>120</v>
      </c>
      <c r="O61" s="7"/>
      <c r="P61" s="7"/>
      <c r="Q61" s="8" t="s">
        <v>142</v>
      </c>
      <c r="R61" s="9" t="s">
        <v>134</v>
      </c>
      <c r="S61" s="7" t="s">
        <v>109</v>
      </c>
      <c r="T61" s="7"/>
      <c r="U61" s="7"/>
      <c r="V61" s="8"/>
    </row>
    <row r="62" spans="1:22" x14ac:dyDescent="0.25">
      <c r="A62" s="1">
        <v>47</v>
      </c>
      <c r="B62" s="2" t="s">
        <v>44</v>
      </c>
      <c r="C62" s="3" t="s">
        <v>215</v>
      </c>
      <c r="D62" s="4" t="s">
        <v>173</v>
      </c>
      <c r="E62" s="32"/>
      <c r="F62" s="33" t="s">
        <v>237</v>
      </c>
      <c r="G62" s="5" t="str">
        <f xml:space="preserve"> IF(IF(F62="MSTR", M62, R62) = 0, "", IF(F62="MSTR", M62, R62))</f>
        <v>AN9</v>
      </c>
      <c r="H62" s="6" t="str">
        <f xml:space="preserve"> IF(IF(F62="MSTR", N62, S62) = 0, "", IF(F62="MSTR", N62, S62))</f>
        <v>0-SHARED</v>
      </c>
      <c r="I62" s="6" t="str">
        <f xml:space="preserve"> IF(IF(F62="MSTR", O62, T62) = 0, "", IF(F62="MSTR", O62, T62))</f>
        <v/>
      </c>
      <c r="J62" s="6" t="str">
        <f xml:space="preserve"> IF(IF(F62="MSTR", P62, U62) = 0, "", IF(F62="MSTR", P62, U62))</f>
        <v/>
      </c>
      <c r="K62" s="14" t="str">
        <f xml:space="preserve"> IF(IF(F62="MSTR", Q62, V62) = 0, "", IF(F62="MSTR", Q62, V62))</f>
        <v>TDO</v>
      </c>
      <c r="L62" s="38">
        <f xml:space="preserve"> IF(F62=Settings!$A$2, 1, IF(F62=Settings!$A$3, 2,  IF(F62=Settings!$A$4, 0, "")))</f>
        <v>1</v>
      </c>
      <c r="M62" s="5" t="s">
        <v>172</v>
      </c>
      <c r="N62" s="7" t="s">
        <v>120</v>
      </c>
      <c r="O62" s="6"/>
      <c r="P62" s="6"/>
      <c r="Q62" s="8" t="s">
        <v>157</v>
      </c>
      <c r="R62" s="9" t="s">
        <v>174</v>
      </c>
      <c r="S62" s="7" t="s">
        <v>109</v>
      </c>
      <c r="T62" s="7"/>
      <c r="U62" s="7" t="s">
        <v>216</v>
      </c>
      <c r="V62" s="8"/>
    </row>
    <row r="63" spans="1:22" x14ac:dyDescent="0.25">
      <c r="A63" s="1">
        <v>48</v>
      </c>
      <c r="B63" s="2" t="s">
        <v>45</v>
      </c>
      <c r="C63" s="3" t="s">
        <v>158</v>
      </c>
      <c r="D63" s="4" t="s">
        <v>175</v>
      </c>
      <c r="E63" s="32"/>
      <c r="F63" s="33" t="s">
        <v>237</v>
      </c>
      <c r="G63" s="5" t="str">
        <f xml:space="preserve"> IF(IF(F63="MSTR", M63, R63) = 0, "", IF(F63="MSTR", M63, R63))</f>
        <v>AN10</v>
      </c>
      <c r="H63" s="6" t="str">
        <f xml:space="preserve"> IF(IF(F63="MSTR", N63, S63) = 0, "", IF(F63="MSTR", N63, S63))</f>
        <v>0-SHARED</v>
      </c>
      <c r="I63" s="6" t="str">
        <f xml:space="preserve"> IF(IF(F63="MSTR", O63, T63) = 0, "", IF(F63="MSTR", O63, T63))</f>
        <v/>
      </c>
      <c r="J63" s="6" t="str">
        <f xml:space="preserve"> IF(IF(F63="MSTR", P63, U63) = 0, "", IF(F63="MSTR", P63, U63))</f>
        <v/>
      </c>
      <c r="K63" s="14" t="str">
        <f xml:space="preserve"> IF(IF(F63="MSTR", Q63, V63) = 0, "", IF(F63="MSTR", Q63, V63))</f>
        <v>SCL1</v>
      </c>
      <c r="L63" s="38">
        <f xml:space="preserve"> IF(F63=Settings!$A$2, 1, IF(F63=Settings!$A$3, 2,  IF(F63=Settings!$A$4, 0, "")))</f>
        <v>1</v>
      </c>
      <c r="M63" s="5" t="s">
        <v>97</v>
      </c>
      <c r="N63" s="7" t="s">
        <v>120</v>
      </c>
      <c r="O63" s="6"/>
      <c r="P63" s="6"/>
      <c r="Q63" s="8" t="s">
        <v>219</v>
      </c>
      <c r="R63" s="9" t="s">
        <v>176</v>
      </c>
      <c r="S63" s="7" t="s">
        <v>109</v>
      </c>
      <c r="T63" s="7"/>
      <c r="U63" s="7"/>
      <c r="V63" s="8" t="s">
        <v>221</v>
      </c>
    </row>
    <row r="64" spans="1:22" x14ac:dyDescent="0.25">
      <c r="A64" s="1">
        <v>49</v>
      </c>
      <c r="B64" s="2" t="s">
        <v>46</v>
      </c>
      <c r="C64" s="3" t="s">
        <v>159</v>
      </c>
      <c r="D64" s="4" t="s">
        <v>177</v>
      </c>
      <c r="E64" s="32"/>
      <c r="F64" s="33" t="s">
        <v>237</v>
      </c>
      <c r="G64" s="5" t="str">
        <f xml:space="preserve"> IF(IF(F64="MSTR", M64, R64) = 0, "", IF(F64="MSTR", M64, R64))</f>
        <v>AN11</v>
      </c>
      <c r="H64" s="6" t="str">
        <f xml:space="preserve"> IF(IF(F64="MSTR", N64, S64) = 0, "", IF(F64="MSTR", N64, S64))</f>
        <v>0-SHARED</v>
      </c>
      <c r="I64" s="6" t="str">
        <f xml:space="preserve"> IF(IF(F64="MSTR", O64, T64) = 0, "", IF(F64="MSTR", O64, T64))</f>
        <v/>
      </c>
      <c r="J64" s="6" t="str">
        <f xml:space="preserve"> IF(IF(F64="MSTR", P64, U64) = 0, "", IF(F64="MSTR", P64, U64))</f>
        <v/>
      </c>
      <c r="K64" s="14" t="str">
        <f xml:space="preserve"> IF(IF(F64="MSTR", Q64, V64) = 0, "", IF(F64="MSTR", Q64, V64))</f>
        <v>SDA1</v>
      </c>
      <c r="L64" s="38">
        <f xml:space="preserve"> IF(F64=Settings!$A$2, 1, IF(F64=Settings!$A$3, 2,  IF(F64=Settings!$A$4, 0, "")))</f>
        <v>1</v>
      </c>
      <c r="M64" s="5" t="s">
        <v>100</v>
      </c>
      <c r="N64" s="7" t="s">
        <v>120</v>
      </c>
      <c r="O64" s="6"/>
      <c r="P64" s="6"/>
      <c r="Q64" s="8" t="s">
        <v>220</v>
      </c>
      <c r="R64" s="9"/>
      <c r="S64" s="7"/>
      <c r="T64" s="7"/>
      <c r="U64" s="7"/>
      <c r="V64" s="8" t="s">
        <v>222</v>
      </c>
    </row>
    <row r="65" spans="1:22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/>
      <c r="R65" s="16"/>
      <c r="S65" s="19"/>
      <c r="T65" s="19"/>
      <c r="U65" s="19"/>
      <c r="V65" s="20"/>
    </row>
    <row r="66" spans="1:22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/>
      <c r="R66" s="16"/>
      <c r="S66" s="19"/>
      <c r="T66" s="19"/>
      <c r="U66" s="19"/>
      <c r="V66" s="20"/>
    </row>
    <row r="67" spans="1:22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/>
      <c r="R67" s="16"/>
      <c r="S67" s="19"/>
      <c r="T67" s="19"/>
      <c r="U67" s="19"/>
      <c r="V67" s="20"/>
    </row>
    <row r="68" spans="1:22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/>
      <c r="R68" s="16"/>
      <c r="S68" s="19"/>
      <c r="T68" s="19"/>
      <c r="U68" s="19"/>
      <c r="V68" s="20"/>
    </row>
    <row r="69" spans="1:22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/>
      <c r="R69" s="16"/>
      <c r="S69" s="19"/>
      <c r="T69" s="19"/>
      <c r="U69" s="19"/>
      <c r="V69" s="20"/>
    </row>
    <row r="70" spans="1:22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/>
      <c r="R70" s="16"/>
      <c r="S70" s="19"/>
      <c r="T70" s="19"/>
      <c r="U70" s="19"/>
      <c r="V70" s="20"/>
    </row>
    <row r="71" spans="1:22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/>
      <c r="R71" s="16"/>
      <c r="S71" s="19"/>
      <c r="T71" s="19"/>
      <c r="U71" s="19"/>
      <c r="V71" s="20"/>
    </row>
    <row r="72" spans="1:22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/>
      <c r="R72" s="27"/>
      <c r="S72" s="28"/>
      <c r="T72" s="28"/>
      <c r="U72" s="28"/>
      <c r="V72" s="29"/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34">
    <cfRule type="iconSet" priority="10">
      <iconSet>
        <cfvo type="percent" val="0"/>
        <cfvo type="num" val="1"/>
        <cfvo type="num" val="2"/>
      </iconSet>
    </cfRule>
  </conditionalFormatting>
  <conditionalFormatting sqref="L33">
    <cfRule type="iconSet" priority="9">
      <iconSet>
        <cfvo type="percent" val="0"/>
        <cfvo type="num" val="1"/>
        <cfvo type="num" val="2"/>
      </iconSet>
    </cfRule>
  </conditionalFormatting>
  <conditionalFormatting sqref="L48">
    <cfRule type="iconSet" priority="8">
      <iconSet>
        <cfvo type="percent" val="0"/>
        <cfvo type="num" val="1"/>
        <cfvo type="num" val="2"/>
      </iconSet>
    </cfRule>
  </conditionalFormatting>
  <conditionalFormatting sqref="L49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17">
    <cfRule type="iconSet" priority="5">
      <iconSet>
        <cfvo type="percent" val="0"/>
        <cfvo type="num" val="1"/>
        <cfvo type="num" val="2"/>
      </iconSet>
    </cfRule>
  </conditionalFormatting>
  <conditionalFormatting sqref="L15">
    <cfRule type="iconSet" priority="4">
      <iconSet>
        <cfvo type="percent" val="0"/>
        <cfvo type="num" val="1"/>
        <cfvo type="num" val="2"/>
      </iconSet>
    </cfRule>
  </conditionalFormatting>
  <conditionalFormatting sqref="L27">
    <cfRule type="iconSet" priority="3">
      <iconSet>
        <cfvo type="percent" val="0"/>
        <cfvo type="num" val="1"/>
        <cfvo type="num" val="2"/>
      </iconSet>
    </cfRule>
  </conditionalFormatting>
  <conditionalFormatting sqref="L28">
    <cfRule type="iconSet" priority="2">
      <iconSet>
        <cfvo type="percent" val="0"/>
        <cfvo type="num" val="1"/>
        <cfvo type="num" val="2"/>
      </iconSet>
    </cfRule>
  </conditionalFormatting>
  <conditionalFormatting sqref="L64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F66:F72 F9:F16 F19:F26 F35:F47 F29:F33 F50:F63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F17:F18 F27:F28 F48:F49 F34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253</v>
      </c>
      <c r="B1" s="42" t="s">
        <v>254</v>
      </c>
    </row>
    <row r="2" spans="1:2" x14ac:dyDescent="0.25">
      <c r="A2" t="s">
        <v>255</v>
      </c>
      <c r="B2" s="43">
        <v>0</v>
      </c>
    </row>
    <row r="3" spans="1:2" x14ac:dyDescent="0.25">
      <c r="A3" t="s">
        <v>256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C4" sqref="C4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236</v>
      </c>
      <c r="C1" s="13" t="s">
        <v>258</v>
      </c>
    </row>
    <row r="2" spans="1:3" x14ac:dyDescent="0.25">
      <c r="A2" s="12" t="s">
        <v>237</v>
      </c>
      <c r="C2" s="12" t="s">
        <v>259</v>
      </c>
    </row>
    <row r="3" spans="1:3" x14ac:dyDescent="0.25">
      <c r="A3" s="12" t="s">
        <v>238</v>
      </c>
      <c r="C3" s="12" t="s">
        <v>260</v>
      </c>
    </row>
    <row r="4" spans="1:3" x14ac:dyDescent="0.25">
      <c r="A4" s="12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Sagittarius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2019-05-30T20:47:43Z</dcterms:modified>
</cp:coreProperties>
</file>