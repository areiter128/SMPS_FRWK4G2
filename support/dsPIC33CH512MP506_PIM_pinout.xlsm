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BD7A2512-EA51-41F2-8A5B-C4CB19ACAD8E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P PIM Sagittarius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Sagittarius'!$A$8:$V$72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0" i="6" l="1"/>
  <c r="L28" i="6"/>
  <c r="L35" i="6"/>
  <c r="L37" i="6"/>
  <c r="L45" i="6"/>
  <c r="L44" i="6"/>
  <c r="L40" i="6"/>
  <c r="L42" i="6"/>
  <c r="L38" i="6"/>
  <c r="L48" i="6"/>
  <c r="L46" i="6"/>
  <c r="L41" i="6"/>
  <c r="L43" i="6"/>
  <c r="L64" i="6"/>
  <c r="L63" i="6"/>
  <c r="L62" i="6"/>
  <c r="L54" i="6"/>
  <c r="L55" i="6"/>
  <c r="L34" i="6"/>
  <c r="L32" i="6"/>
  <c r="L50" i="6"/>
  <c r="L51" i="6"/>
  <c r="L31" i="6"/>
  <c r="L33" i="6"/>
  <c r="L27" i="6"/>
  <c r="L52" i="6"/>
  <c r="L53" i="6"/>
  <c r="L11" i="6"/>
  <c r="L12" i="6"/>
  <c r="L23" i="6"/>
  <c r="L16" i="6"/>
  <c r="L26" i="6"/>
  <c r="L61" i="6"/>
  <c r="L15" i="6"/>
  <c r="L25" i="6"/>
  <c r="L14" i="6"/>
  <c r="L17" i="6"/>
  <c r="L24" i="6"/>
  <c r="L21" i="6"/>
  <c r="L19" i="6"/>
  <c r="L18" i="6"/>
  <c r="L20" i="6"/>
  <c r="L22" i="6"/>
  <c r="L13" i="6"/>
  <c r="L10" i="6"/>
  <c r="L29" i="6"/>
  <c r="L9" i="6"/>
  <c r="L56" i="6"/>
  <c r="L57" i="6"/>
  <c r="L49" i="6"/>
  <c r="L47" i="6"/>
  <c r="L39" i="6"/>
  <c r="L36" i="6"/>
  <c r="B5" i="6"/>
  <c r="K48" i="6" l="1"/>
  <c r="J48" i="6"/>
  <c r="I48" i="6"/>
  <c r="H48" i="6"/>
  <c r="G48" i="6"/>
  <c r="K39" i="6"/>
  <c r="J39" i="6"/>
  <c r="I39" i="6"/>
  <c r="H39" i="6"/>
  <c r="G39" i="6"/>
  <c r="K46" i="6"/>
  <c r="J46" i="6"/>
  <c r="I46" i="6"/>
  <c r="H46" i="6"/>
  <c r="G46" i="6"/>
  <c r="K36" i="6"/>
  <c r="J36" i="6"/>
  <c r="I36" i="6"/>
  <c r="H36" i="6"/>
  <c r="G36" i="6"/>
  <c r="K21" i="6"/>
  <c r="J21" i="6"/>
  <c r="I21" i="6"/>
  <c r="H21" i="6"/>
  <c r="G21" i="6"/>
  <c r="K20" i="6"/>
  <c r="J20" i="6"/>
  <c r="I20" i="6"/>
  <c r="H20" i="6"/>
  <c r="G20" i="6"/>
  <c r="K17" i="6"/>
  <c r="J17" i="6"/>
  <c r="I17" i="6"/>
  <c r="H17" i="6"/>
  <c r="G17" i="6"/>
  <c r="K23" i="6"/>
  <c r="J23" i="6"/>
  <c r="I23" i="6"/>
  <c r="H23" i="6"/>
  <c r="G23" i="6"/>
  <c r="K61" i="6"/>
  <c r="J61" i="6"/>
  <c r="I61" i="6"/>
  <c r="H61" i="6"/>
  <c r="G61" i="6"/>
  <c r="K25" i="6"/>
  <c r="J25" i="6"/>
  <c r="I25" i="6"/>
  <c r="H25" i="6"/>
  <c r="G25" i="6"/>
  <c r="K22" i="6"/>
  <c r="J22" i="6"/>
  <c r="I22" i="6"/>
  <c r="H22" i="6"/>
  <c r="G22" i="6"/>
  <c r="K56" i="6"/>
  <c r="J56" i="6"/>
  <c r="I56" i="6"/>
  <c r="H56" i="6"/>
  <c r="G56" i="6"/>
  <c r="K57" i="6"/>
  <c r="J57" i="6"/>
  <c r="I57" i="6"/>
  <c r="H57" i="6"/>
  <c r="G57" i="6"/>
  <c r="K14" i="6"/>
  <c r="J14" i="6"/>
  <c r="I14" i="6"/>
  <c r="H14" i="6"/>
  <c r="G14" i="6"/>
  <c r="K51" i="6"/>
  <c r="J51" i="6"/>
  <c r="I51" i="6"/>
  <c r="H51" i="6"/>
  <c r="G51" i="6"/>
  <c r="K33" i="6"/>
  <c r="J33" i="6"/>
  <c r="I33" i="6"/>
  <c r="H33" i="6"/>
  <c r="G33" i="6"/>
  <c r="K27" i="6"/>
  <c r="J27" i="6"/>
  <c r="I27" i="6"/>
  <c r="H27" i="6"/>
  <c r="G27" i="6"/>
  <c r="K31" i="6"/>
  <c r="J31" i="6"/>
  <c r="I31" i="6"/>
  <c r="H31" i="6"/>
  <c r="G31" i="6"/>
  <c r="K55" i="6"/>
  <c r="J55" i="6"/>
  <c r="I55" i="6"/>
  <c r="H55" i="6"/>
  <c r="G55" i="6"/>
  <c r="K54" i="6"/>
  <c r="J54" i="6"/>
  <c r="I54" i="6"/>
  <c r="H54" i="6"/>
  <c r="G54" i="6"/>
  <c r="K34" i="6"/>
  <c r="J34" i="6"/>
  <c r="I34" i="6"/>
  <c r="H34" i="6"/>
  <c r="G34" i="6"/>
  <c r="K11" i="6"/>
  <c r="J11" i="6"/>
  <c r="I11" i="6"/>
  <c r="H11" i="6"/>
  <c r="G11" i="6"/>
  <c r="K62" i="6"/>
  <c r="J62" i="6"/>
  <c r="I62" i="6"/>
  <c r="H62" i="6"/>
  <c r="G62" i="6"/>
  <c r="K53" i="6"/>
  <c r="J53" i="6"/>
  <c r="I53" i="6"/>
  <c r="H53" i="6"/>
  <c r="G53" i="6"/>
  <c r="K52" i="6"/>
  <c r="J52" i="6"/>
  <c r="I52" i="6"/>
  <c r="H52" i="6"/>
  <c r="G52" i="6"/>
  <c r="K19" i="6"/>
  <c r="J19" i="6"/>
  <c r="I19" i="6"/>
  <c r="H19" i="6"/>
  <c r="G19" i="6"/>
  <c r="K18" i="6"/>
  <c r="J18" i="6"/>
  <c r="I18" i="6"/>
  <c r="H18" i="6"/>
  <c r="G18" i="6"/>
  <c r="K13" i="6"/>
  <c r="J13" i="6"/>
  <c r="I13" i="6"/>
  <c r="H13" i="6"/>
  <c r="G13" i="6"/>
  <c r="K12" i="6"/>
  <c r="J12" i="6"/>
  <c r="I12" i="6"/>
  <c r="H12" i="6"/>
  <c r="G12" i="6"/>
  <c r="K26" i="6"/>
  <c r="J26" i="6"/>
  <c r="I26" i="6"/>
  <c r="H26" i="6"/>
  <c r="G26" i="6"/>
  <c r="K16" i="6"/>
  <c r="J16" i="6"/>
  <c r="I16" i="6"/>
  <c r="H16" i="6"/>
  <c r="G16" i="6"/>
  <c r="K44" i="6"/>
  <c r="J44" i="6"/>
  <c r="I44" i="6"/>
  <c r="H44" i="6"/>
  <c r="G44" i="6"/>
  <c r="K35" i="6"/>
  <c r="J35" i="6"/>
  <c r="I35" i="6"/>
  <c r="H35" i="6"/>
  <c r="G35" i="6"/>
  <c r="K37" i="6"/>
  <c r="J37" i="6"/>
  <c r="I37" i="6"/>
  <c r="H37" i="6"/>
  <c r="G37" i="6"/>
  <c r="K40" i="6"/>
  <c r="J40" i="6"/>
  <c r="I40" i="6"/>
  <c r="H40" i="6"/>
  <c r="G40" i="6"/>
  <c r="K64" i="6"/>
  <c r="J64" i="6"/>
  <c r="I64" i="6"/>
  <c r="H64" i="6"/>
  <c r="G64" i="6"/>
  <c r="K63" i="6"/>
  <c r="J63" i="6"/>
  <c r="I63" i="6"/>
  <c r="H63" i="6"/>
  <c r="G63" i="6"/>
  <c r="K24" i="6"/>
  <c r="J24" i="6"/>
  <c r="I24" i="6"/>
  <c r="H24" i="6"/>
  <c r="G24" i="6"/>
  <c r="K50" i="6"/>
  <c r="J50" i="6"/>
  <c r="I50" i="6"/>
  <c r="H50" i="6"/>
  <c r="G50" i="6"/>
  <c r="K32" i="6"/>
  <c r="J32" i="6"/>
  <c r="I32" i="6"/>
  <c r="H32" i="6"/>
  <c r="G32" i="6"/>
  <c r="K49" i="6"/>
  <c r="J49" i="6"/>
  <c r="I49" i="6"/>
  <c r="H49" i="6"/>
  <c r="G49" i="6"/>
  <c r="K47" i="6"/>
  <c r="J47" i="6"/>
  <c r="I47" i="6"/>
  <c r="H47" i="6"/>
  <c r="G47" i="6"/>
  <c r="K10" i="6"/>
  <c r="J10" i="6"/>
  <c r="I10" i="6"/>
  <c r="H10" i="6"/>
  <c r="G10" i="6"/>
  <c r="K9" i="6"/>
  <c r="J9" i="6"/>
  <c r="I9" i="6"/>
  <c r="H9" i="6"/>
  <c r="G9" i="6"/>
  <c r="K29" i="6"/>
  <c r="J29" i="6"/>
  <c r="I29" i="6"/>
  <c r="H29" i="6"/>
  <c r="G29" i="6"/>
  <c r="K42" i="6"/>
  <c r="J42" i="6"/>
  <c r="I42" i="6"/>
  <c r="H42" i="6"/>
  <c r="G42" i="6"/>
  <c r="K38" i="6"/>
  <c r="J38" i="6"/>
  <c r="I38" i="6"/>
  <c r="H38" i="6"/>
  <c r="G38" i="6"/>
  <c r="K30" i="6"/>
  <c r="J30" i="6"/>
  <c r="I30" i="6"/>
  <c r="H30" i="6"/>
  <c r="G30" i="6"/>
  <c r="K41" i="6"/>
  <c r="J41" i="6"/>
  <c r="I41" i="6"/>
  <c r="H41" i="6"/>
  <c r="G41" i="6"/>
  <c r="K43" i="6"/>
  <c r="J43" i="6"/>
  <c r="I43" i="6"/>
  <c r="H43" i="6"/>
  <c r="G43" i="6"/>
  <c r="K28" i="6"/>
  <c r="J28" i="6"/>
  <c r="I28" i="6"/>
  <c r="H28" i="6"/>
  <c r="G28" i="6"/>
  <c r="K15" i="6"/>
  <c r="J15" i="6"/>
  <c r="I15" i="6"/>
  <c r="H15" i="6"/>
  <c r="G15" i="6"/>
  <c r="K45" i="6"/>
  <c r="J45" i="6"/>
  <c r="I45" i="6"/>
  <c r="H45" i="6"/>
  <c r="G45" i="6"/>
</calcChain>
</file>

<file path=xl/sharedStrings.xml><?xml version="1.0" encoding="utf-8"?>
<sst xmlns="http://schemas.openxmlformats.org/spreadsheetml/2006/main" count="410" uniqueCount="305">
  <si>
    <t>MCLR</t>
  </si>
  <si>
    <t>VSS</t>
  </si>
  <si>
    <t>VDD</t>
  </si>
  <si>
    <t>RD13</t>
  </si>
  <si>
    <t>AVDD</t>
  </si>
  <si>
    <t>AVSS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</si>
  <si>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</si>
  <si>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</si>
  <si>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</si>
  <si>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</si>
  <si>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</si>
  <si>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</si>
  <si>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</si>
  <si>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</si>
  <si>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</si>
  <si>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</si>
  <si>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</si>
  <si>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</si>
  <si>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</si>
  <si>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</si>
  <si>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</si>
  <si>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</si>
  <si>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</si>
  <si>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</si>
  <si>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</si>
  <si>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</si>
  <si>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</si>
  <si>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</si>
  <si>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</si>
  <si>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</si>
  <si>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</si>
  <si>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</si>
  <si>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</si>
  <si>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</si>
  <si>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</si>
  <si>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</si>
  <si>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</si>
  <si>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</si>
  <si>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</si>
  <si>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</si>
  <si>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</si>
  <si>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</si>
  <si>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</si>
  <si>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</si>
  <si>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</si>
  <si>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</si>
  <si>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</si>
  <si>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</si>
  <si>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</si>
  <si>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</si>
  <si>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</si>
  <si>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</si>
  <si>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</si>
  <si>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</si>
  <si>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</si>
  <si>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</si>
  <si>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</si>
  <si>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</si>
  <si>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</si>
  <si>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</si>
  <si>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</si>
  <si>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</si>
  <si>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</si>
  <si>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</si>
  <si>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</si>
  <si>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</si>
  <si>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</si>
  <si>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PCI22</t>
  </si>
  <si>
    <t>PCI21</t>
  </si>
  <si>
    <t>AN1</t>
  </si>
  <si>
    <t>AN2</t>
  </si>
  <si>
    <t>RP54</t>
  </si>
  <si>
    <t>ISRC3</t>
  </si>
  <si>
    <t>PCI20</t>
  </si>
  <si>
    <t>PWM1L</t>
  </si>
  <si>
    <t>PWM4H</t>
  </si>
  <si>
    <t>PWM4L</t>
  </si>
  <si>
    <t>RP61</t>
  </si>
  <si>
    <t>RP48</t>
  </si>
  <si>
    <t>IBIAS0</t>
  </si>
  <si>
    <t>IBIAS1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</si>
  <si>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</si>
  <si>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</si>
  <si>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</si>
  <si>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</si>
  <si>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</si>
  <si>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</si>
  <si>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</si>
  <si>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</si>
  <si>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</si>
  <si>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</si>
  <si>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AN12</t>
  </si>
  <si>
    <t>IBIAS3</t>
  </si>
  <si>
    <t>MASTER CORE</t>
  </si>
  <si>
    <t>SLAVE CORE</t>
  </si>
  <si>
    <t>COMMON</t>
  </si>
  <si>
    <t>S1PCI22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</si>
  <si>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</si>
  <si>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</si>
  <si>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</si>
  <si>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</si>
  <si>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</si>
  <si>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</si>
  <si>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</si>
  <si>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</si>
  <si>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</si>
  <si>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</si>
  <si>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</si>
  <si>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</si>
  <si>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2-SHARED</t>
  </si>
  <si>
    <t>AN3</t>
  </si>
  <si>
    <t>CMP1B</t>
  </si>
  <si>
    <t>SPECIAL FUNCTION</t>
  </si>
  <si>
    <t>S1PWM7H</t>
  </si>
  <si>
    <t>S1PWM7L</t>
  </si>
  <si>
    <t>S1AN16</t>
  </si>
  <si>
    <t>S1AN15</t>
  </si>
  <si>
    <t>S1AN10</t>
  </si>
  <si>
    <t>S1AN0</t>
  </si>
  <si>
    <t>0-DEDICATED</t>
  </si>
  <si>
    <t>0-SHARED</t>
  </si>
  <si>
    <t>S1AN1</t>
  </si>
  <si>
    <t>1-DEDICATED</t>
  </si>
  <si>
    <t>ASDA1/SCK2</t>
  </si>
  <si>
    <t>ASCL1/SDI2</t>
  </si>
  <si>
    <t>ISRC0</t>
  </si>
  <si>
    <t>ISRC1</t>
  </si>
  <si>
    <t>S1ANA0</t>
  </si>
  <si>
    <t>S1ANA1</t>
  </si>
  <si>
    <t>S1CMP1B</t>
  </si>
  <si>
    <t>S1AN11</t>
  </si>
  <si>
    <t>S1AN14</t>
  </si>
  <si>
    <t>S1PGA2P2</t>
  </si>
  <si>
    <t>S1AN8</t>
  </si>
  <si>
    <t>S1AN5</t>
  </si>
  <si>
    <t>S1AN4</t>
  </si>
  <si>
    <t>S1AN17</t>
  </si>
  <si>
    <t>S1AN13</t>
  </si>
  <si>
    <t>S1AN12</t>
  </si>
  <si>
    <t>S1MCLR2</t>
  </si>
  <si>
    <t>S1PCI20</t>
  </si>
  <si>
    <t>S1CMP3B</t>
  </si>
  <si>
    <t>OSCI/CLKI</t>
  </si>
  <si>
    <t>AN6</t>
  </si>
  <si>
    <t>OSCO/CLKO/IBIAS2</t>
  </si>
  <si>
    <t>S1PGA1P2</t>
  </si>
  <si>
    <t>S1CMP2B</t>
  </si>
  <si>
    <t>ISRC2</t>
  </si>
  <si>
    <t>AN7</t>
  </si>
  <si>
    <t>RP34</t>
  </si>
  <si>
    <t>RP71</t>
  </si>
  <si>
    <t>RP70</t>
  </si>
  <si>
    <t>S1AN18</t>
  </si>
  <si>
    <t>S1AN9</t>
  </si>
  <si>
    <t>RP69</t>
  </si>
  <si>
    <t>PGD3</t>
  </si>
  <si>
    <t>PGC3</t>
  </si>
  <si>
    <t>TDO</t>
  </si>
  <si>
    <t>PGD1</t>
  </si>
  <si>
    <t>PGC1</t>
  </si>
  <si>
    <t>RP52</t>
  </si>
  <si>
    <t>RP53</t>
  </si>
  <si>
    <t>RP58</t>
  </si>
  <si>
    <t>S1ASDA1/S1SCK1</t>
  </si>
  <si>
    <t>S1ASCL1/S1SDI1</t>
  </si>
  <si>
    <t>SDO2/PCI19</t>
  </si>
  <si>
    <t>S1SDO1/S1PCI19</t>
  </si>
  <si>
    <t>S1PWM8H</t>
  </si>
  <si>
    <t>S1PWM6H</t>
  </si>
  <si>
    <t>S1PWM6L</t>
  </si>
  <si>
    <t>RP37</t>
  </si>
  <si>
    <t>RP38</t>
  </si>
  <si>
    <t>AN9</t>
  </si>
  <si>
    <t>RP39</t>
  </si>
  <si>
    <t>S1AN6</t>
  </si>
  <si>
    <t>RP40</t>
  </si>
  <si>
    <t>S1AN7</t>
  </si>
  <si>
    <t>RP41</t>
  </si>
  <si>
    <t>S1PWM2H</t>
  </si>
  <si>
    <t>S1PWM2L</t>
  </si>
  <si>
    <t>S1PWM1H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</si>
  <si>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</si>
  <si>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</si>
  <si>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</si>
  <si>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</si>
  <si>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</si>
  <si>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</si>
  <si>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</si>
  <si>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</si>
  <si>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</si>
  <si>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</si>
  <si>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S1PWM1L</t>
  </si>
  <si>
    <t>S1PWM3H</t>
  </si>
  <si>
    <t>S1PWM3L</t>
  </si>
  <si>
    <t>S1PWM8L</t>
  </si>
  <si>
    <t>S1PWM4H</t>
  </si>
  <si>
    <t>S1PWM4L</t>
  </si>
  <si>
    <t>PWM2L</t>
  </si>
  <si>
    <t>ACMP#</t>
  </si>
  <si>
    <t>S1PGA1P1</t>
  </si>
  <si>
    <t>S1CMP1A</t>
  </si>
  <si>
    <t>S1CMP2A</t>
  </si>
  <si>
    <t>CM1A</t>
  </si>
  <si>
    <t>S1ANN1</t>
  </si>
  <si>
    <t>S1ANN0</t>
  </si>
  <si>
    <t>S1PGA1N2</t>
  </si>
  <si>
    <t>S1PGA2N2/S1PCI21</t>
  </si>
  <si>
    <t>DACOUT1/INT0</t>
  </si>
  <si>
    <t>CMP1D</t>
  </si>
  <si>
    <t>PWM#</t>
  </si>
  <si>
    <t>TMS</t>
  </si>
  <si>
    <t>PWM3H</t>
  </si>
  <si>
    <t>PWM2H</t>
  </si>
  <si>
    <t>TCK</t>
  </si>
  <si>
    <t>TDI</t>
  </si>
  <si>
    <t>S1MCLR1</t>
  </si>
  <si>
    <t>S1PWM5H</t>
  </si>
  <si>
    <t>PGx#</t>
  </si>
  <si>
    <t>S1PWM5L</t>
  </si>
  <si>
    <t>SCL1</t>
  </si>
  <si>
    <t>SDA1</t>
  </si>
  <si>
    <t>S1SCL1</t>
  </si>
  <si>
    <t>S1SDA1</t>
  </si>
  <si>
    <t>S1PGA3P1</t>
  </si>
  <si>
    <t>S1CMP3A</t>
  </si>
  <si>
    <t>SCL2</t>
  </si>
  <si>
    <t>SDA2</t>
  </si>
  <si>
    <t>S1PGA2P1/S1PGA3P2</t>
  </si>
  <si>
    <t>S1MCLR3</t>
  </si>
  <si>
    <t>2-SHARED 
0-DEDICATED 
1-DEDICATED</t>
  </si>
  <si>
    <t>S1AN3
S1ANC0
S1ANC1</t>
  </si>
  <si>
    <t>S1INT0</t>
  </si>
  <si>
    <t>S1CMP1D
S1CMP2D
S1CMP3D</t>
  </si>
  <si>
    <t>PGD</t>
  </si>
  <si>
    <t>PGC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</si>
  <si>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</si>
  <si>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</si>
  <si>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</si>
  <si>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</si>
  <si>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</si>
  <si>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</si>
  <si>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</si>
  <si>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</si>
  <si>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</si>
  <si>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</si>
  <si>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</si>
  <si>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</si>
  <si>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</si>
  <si>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</si>
  <si>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</si>
  <si>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</si>
  <si>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</si>
  <si>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</si>
  <si>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</si>
  <si>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</si>
  <si>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</si>
  <si>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</si>
  <si>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</si>
  <si>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</si>
  <si>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</si>
  <si>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</si>
  <si>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</si>
  <si>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</si>
  <si>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</si>
  <si>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</si>
  <si>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</si>
  <si>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</si>
  <si>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</si>
  <si>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</si>
  <si>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</si>
  <si>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</si>
  <si>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</si>
  <si>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</si>
  <si>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</si>
  <si>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</si>
  <si>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</si>
  <si>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</si>
  <si>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</si>
  <si>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</si>
  <si>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</si>
  <si>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</si>
  <si>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</si>
  <si>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</si>
  <si>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</si>
  <si>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</si>
  <si>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</si>
  <si>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</si>
  <si>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</si>
  <si>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</si>
  <si>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</si>
  <si>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</si>
  <si>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</si>
  <si>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</si>
  <si>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</si>
  <si>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</si>
  <si>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</si>
  <si>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</si>
  <si>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</si>
  <si>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</si>
  <si>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</si>
  <si>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</si>
  <si>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</si>
  <si>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</si>
  <si>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</si>
  <si>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10889_P33CH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</si>
</sst>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7" fillId="33" borderId="0" xfId="0" applyFont="1" applyFill="1"/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0" fontId="0" fillId="34" borderId="32" xfId="0" applyFont="1" applyFill="1" applyBorder="1" applyAlignment="1" applyProtection="1">
      <alignment horizontal="center"/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V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55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</cols>
  <sheetData>
    <row r="1" spans="1:22" s="30" customFormat="1" x14ac:dyDescent="0.25">
      <c r="L1" s="50"/>
    </row>
    <row r="2" spans="1:22" s="30" customFormat="1" x14ac:dyDescent="0.25">
      <c r="A2" s="43" t="s">
        <v>257</v>
      </c>
      <c r="B2" s="60" t="s">
        <v>260</v>
      </c>
      <c r="C2" s="60"/>
      <c r="D2" s="60"/>
      <c r="L2" s="50"/>
    </row>
    <row r="3" spans="1:22" s="30" customFormat="1" x14ac:dyDescent="0.25">
      <c r="A3" s="43" t="s">
        <v>250</v>
      </c>
      <c r="B3" s="44" t="s">
        <v>304</v>
      </c>
      <c r="C3" s="44"/>
      <c r="D3" s="44"/>
      <c r="L3" s="50"/>
    </row>
    <row r="4" spans="1:22" s="30" customFormat="1" x14ac:dyDescent="0.25">
      <c r="A4" s="43" t="s">
        <v>262</v>
      </c>
      <c r="B4" s="44">
        <v>10</v>
      </c>
      <c r="C4" s="44"/>
      <c r="D4" s="44"/>
      <c r="L4" s="50"/>
    </row>
    <row r="5" spans="1:22" s="30" customFormat="1" x14ac:dyDescent="0.25">
      <c r="A5" s="43" t="s">
        <v>251</v>
      </c>
      <c r="B5" s="45" t="str">
        <f>Username()</f>
        <v>M91406</v>
      </c>
      <c r="C5" s="46"/>
      <c r="D5" s="47"/>
      <c r="L5" s="50"/>
    </row>
    <row r="6" spans="1:22" s="30" customFormat="1" ht="15.75" thickBot="1" x14ac:dyDescent="0.3">
      <c r="B6" s="57" t="s">
        <v>252</v>
      </c>
      <c r="C6" s="61">
        <v>32</v>
      </c>
      <c r="D6" s="56"/>
      <c r="L6" s="50"/>
    </row>
    <row r="7" spans="1:22" x14ac:dyDescent="0.25">
      <c r="A7" s="37" t="s">
        <v>95</v>
      </c>
      <c r="B7" s="38"/>
      <c r="C7" s="38"/>
      <c r="D7" s="39"/>
      <c r="E7" s="15" t="s">
        <v>261</v>
      </c>
      <c r="F7" s="15" t="s">
        <v>241</v>
      </c>
      <c r="G7" s="40" t="s">
        <v>235</v>
      </c>
      <c r="H7" s="41"/>
      <c r="I7" s="41"/>
      <c r="J7" s="41"/>
      <c r="K7" s="42"/>
      <c r="L7" s="51" t="s">
        <v>239</v>
      </c>
      <c r="M7" s="31" t="s">
        <v>93</v>
      </c>
      <c r="N7" s="32"/>
      <c r="O7" s="32"/>
      <c r="P7" s="32"/>
      <c r="Q7" s="33"/>
      <c r="R7" s="34" t="s">
        <v>94</v>
      </c>
      <c r="S7" s="35"/>
      <c r="T7" s="35"/>
      <c r="U7" s="35"/>
      <c r="V7" s="36"/>
    </row>
    <row r="8" spans="1:22" s="55" customFormat="1" x14ac:dyDescent="0.25">
      <c r="A8" s="62" t="s">
        <v>8</v>
      </c>
      <c r="B8" s="63" t="s">
        <v>9</v>
      </c>
      <c r="C8" s="63" t="s">
        <v>217</v>
      </c>
      <c r="D8" s="64" t="s">
        <v>60</v>
      </c>
      <c r="E8" s="65" t="s">
        <v>8</v>
      </c>
      <c r="F8" s="65" t="s">
        <v>8</v>
      </c>
      <c r="G8" s="66" t="s">
        <v>89</v>
      </c>
      <c r="H8" s="67" t="s">
        <v>90</v>
      </c>
      <c r="I8" s="67" t="s">
        <v>198</v>
      </c>
      <c r="J8" s="67" t="s">
        <v>209</v>
      </c>
      <c r="K8" s="68" t="s">
        <v>112</v>
      </c>
      <c r="L8" s="52" t="s">
        <v>242</v>
      </c>
      <c r="M8" s="66" t="s">
        <v>89</v>
      </c>
      <c r="N8" s="67" t="s">
        <v>90</v>
      </c>
      <c r="O8" s="67" t="s">
        <v>198</v>
      </c>
      <c r="P8" s="67" t="s">
        <v>209</v>
      </c>
      <c r="Q8" s="68" t="s">
        <v>112</v>
      </c>
      <c r="R8" s="66" t="s">
        <v>89</v>
      </c>
      <c r="S8" s="67" t="s">
        <v>90</v>
      </c>
      <c r="T8" s="67" t="s">
        <v>198</v>
      </c>
      <c r="U8" s="67" t="s">
        <v>209</v>
      </c>
      <c r="V8" s="68" t="s">
        <v>112</v>
      </c>
    </row>
    <row r="9" spans="1:22" x14ac:dyDescent="0.25">
      <c r="A9" s="1">
        <v>8</v>
      </c>
      <c r="B9" s="2" t="s">
        <v>16</v>
      </c>
      <c r="C9" s="3"/>
      <c r="D9" s="4"/>
      <c r="E9" s="48" t="s">
        <v>246</v>
      </c>
      <c r="F9" s="49" t="s">
        <v>237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/>
      </c>
      <c r="K9" s="14" t="str">
        <f xml:space="preserve"> IF(IF(F9="MSTR", Q9, V9) = 0, "", IF(F9="MSTR", Q9, V9))</f>
        <v>PCI22</v>
      </c>
      <c r="L9" s="54">
        <f xml:space="preserve"> IF(F9=Settings!$A$2, 1, IF(F9=Settings!$A$3, 2,  IF(F9=Settings!$A$4, 0, "")))</f>
        <v>1</v>
      </c>
      <c r="M9" s="5"/>
      <c r="N9" s="6"/>
      <c r="O9" s="6"/>
      <c r="P9" s="6"/>
      <c r="Q9" s="8" t="s">
        <v>67</v>
      </c>
      <c r="R9" s="9"/>
      <c r="S9" s="7"/>
      <c r="T9" s="7"/>
      <c r="U9" s="7"/>
      <c r="V9" s="8" t="s">
        <v>96</v>
      </c>
    </row>
    <row r="10" spans="1:22" x14ac:dyDescent="0.25">
      <c r="A10" s="1">
        <v>12</v>
      </c>
      <c r="B10" s="2" t="s">
        <v>3</v>
      </c>
      <c r="C10" s="3"/>
      <c r="D10" s="4"/>
      <c r="E10" s="48" t="s">
        <v>247</v>
      </c>
      <c r="F10" s="49" t="s">
        <v>237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/>
      </c>
      <c r="K10" s="14" t="str">
        <f xml:space="preserve"> IF(IF(F10="MSTR", Q10, V10) = 0, "", IF(F10="MSTR", Q10, V10))</f>
        <v/>
      </c>
      <c r="L10" s="54">
        <f xml:space="preserve"> IF(F10=Settings!$A$2, 1, IF(F10=Settings!$A$3, 2,  IF(F10=Settings!$A$4, 0, "")))</f>
        <v>1</v>
      </c>
      <c r="M10" s="5"/>
      <c r="N10" s="6"/>
      <c r="O10" s="6"/>
      <c r="P10" s="6"/>
      <c r="Q10" s="8"/>
      <c r="R10" s="9" t="s">
        <v>204</v>
      </c>
      <c r="S10" s="7" t="s">
        <v>119</v>
      </c>
      <c r="T10" s="7"/>
      <c r="U10" s="7"/>
      <c r="V10" s="8" t="s">
        <v>205</v>
      </c>
    </row>
    <row r="11" spans="1:22" x14ac:dyDescent="0.25">
      <c r="A11" s="1">
        <v>33</v>
      </c>
      <c r="B11" s="2" t="s">
        <v>32</v>
      </c>
      <c r="C11" s="3" t="s">
        <v>139</v>
      </c>
      <c r="D11" s="4" t="s">
        <v>149</v>
      </c>
      <c r="E11" s="48" t="s">
        <v>266</v>
      </c>
      <c r="F11" s="49" t="s">
        <v>237</v>
      </c>
      <c r="G11" s="5" t="str">
        <f xml:space="preserve"> IF(IF(F11="MSTR", M11, R11) = 0, "", IF(F11="MSTR", M11, R11))</f>
        <v>AN7</v>
      </c>
      <c r="H11" s="6" t="str">
        <f xml:space="preserve"> IF(IF(F11="MSTR", N11, S11) = 0, "", IF(F11="MSTR", N11, S11))</f>
        <v>0-SHARED</v>
      </c>
      <c r="I11" s="6" t="str">
        <f xml:space="preserve"> IF(IF(F11="MSTR", O11, T11) = 0, "", IF(F11="MSTR", O11, T11))</f>
        <v>CMP1D</v>
      </c>
      <c r="J11" s="6" t="str">
        <f xml:space="preserve"> IF(IF(F11="MSTR", P11, U11) = 0, "", IF(F11="MSTR", P11, U11))</f>
        <v/>
      </c>
      <c r="K11" s="14" t="str">
        <f xml:space="preserve"> IF(IF(F11="MSTR", Q11, V11) = 0, "", IF(F11="MSTR", Q11, V11))</f>
        <v>DACOUT1/INT0</v>
      </c>
      <c r="L11" s="54">
        <f xml:space="preserve"> IF(F11=Settings!$A$2, 1, IF(F11=Settings!$A$3, 2,  IF(F11=Settings!$A$4, 0, "")))</f>
        <v>1</v>
      </c>
      <c r="M11" s="5" t="s">
        <v>148</v>
      </c>
      <c r="N11" s="7" t="s">
        <v>120</v>
      </c>
      <c r="O11" s="6" t="s">
        <v>208</v>
      </c>
      <c r="P11" s="6"/>
      <c r="Q11" s="8" t="s">
        <v>207</v>
      </c>
      <c r="R11" s="9" t="s">
        <v>230</v>
      </c>
      <c r="S11" s="7" t="s">
        <v>229</v>
      </c>
      <c r="T11" s="7" t="s">
        <v>232</v>
      </c>
      <c r="U11" s="7"/>
      <c r="V11" s="8" t="s">
        <v>231</v>
      </c>
    </row>
    <row r="12" spans="1:22" x14ac:dyDescent="0.25">
      <c r="A12" s="1">
        <v>32</v>
      </c>
      <c r="B12" s="2" t="s">
        <v>31</v>
      </c>
      <c r="C12" s="3"/>
      <c r="D12" s="4" t="s">
        <v>86</v>
      </c>
      <c r="E12" s="48" t="s">
        <v>265</v>
      </c>
      <c r="F12" s="49" t="s">
        <v>237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/>
      </c>
      <c r="K12" s="14" t="str">
        <f xml:space="preserve"> IF(IF(F12="MSTR", Q12, V12) = 0, "", IF(F12="MSTR", Q12, V12))</f>
        <v>ISRC2</v>
      </c>
      <c r="L12" s="54">
        <f xml:space="preserve"> IF(F12=Settings!$A$2, 1, IF(F12=Settings!$A$3, 2,  IF(F12=Settings!$A$4, 0, "")))</f>
        <v>1</v>
      </c>
      <c r="M12" s="5"/>
      <c r="N12" s="6"/>
      <c r="O12" s="6"/>
      <c r="P12" s="6"/>
      <c r="Q12" s="8" t="s">
        <v>147</v>
      </c>
      <c r="R12" s="9" t="s">
        <v>138</v>
      </c>
      <c r="S12" s="7" t="s">
        <v>109</v>
      </c>
      <c r="T12" s="7"/>
      <c r="U12" s="7"/>
      <c r="V12" s="8"/>
    </row>
    <row r="13" spans="1:22" x14ac:dyDescent="0.25">
      <c r="A13" s="1">
        <v>13</v>
      </c>
      <c r="B13" s="2" t="s">
        <v>18</v>
      </c>
      <c r="C13" s="3"/>
      <c r="D13" s="4" t="s">
        <v>78</v>
      </c>
      <c r="E13" s="48" t="s">
        <v>268</v>
      </c>
      <c r="F13" s="49" t="s">
        <v>237</v>
      </c>
      <c r="G13" s="5" t="str">
        <f xml:space="preserve"> IF(IF(F13="MSTR", M13, R13) = 0, "", IF(F13="MSTR", M13, R13))</f>
        <v>AN12</v>
      </c>
      <c r="H13" s="6" t="str">
        <f xml:space="preserve"> IF(IF(F13="MSTR", N13, S13) = 0, "", IF(F13="MSTR", N13, S13))</f>
        <v>0-SHARED</v>
      </c>
      <c r="I13" s="6" t="str">
        <f xml:space="preserve"> IF(IF(F13="MSTR", O13, T13) = 0, "", IF(F13="MSTR", O13, T13))</f>
        <v/>
      </c>
      <c r="J13" s="6" t="str">
        <f xml:space="preserve"> IF(IF(F13="MSTR", P13, U13) = 0, "", IF(F13="MSTR", P13, U13))</f>
        <v/>
      </c>
      <c r="K13" s="14" t="str">
        <f xml:space="preserve"> IF(IF(F13="MSTR", Q13, V13) = 0, "", IF(F13="MSTR", Q13, V13))</f>
        <v>IBIAS3</v>
      </c>
      <c r="L13" s="54">
        <f xml:space="preserve"> IF(F13=Settings!$A$2, 1, IF(F13=Settings!$A$3, 2,  IF(F13=Settings!$A$4, 0, "")))</f>
        <v>1</v>
      </c>
      <c r="M13" s="5" t="s">
        <v>91</v>
      </c>
      <c r="N13" s="7" t="s">
        <v>120</v>
      </c>
      <c r="O13" s="7"/>
      <c r="P13" s="7"/>
      <c r="Q13" s="8" t="s">
        <v>92</v>
      </c>
      <c r="R13" s="9" t="s">
        <v>117</v>
      </c>
      <c r="S13" s="7" t="s">
        <v>109</v>
      </c>
      <c r="T13" s="7"/>
      <c r="U13" s="7"/>
      <c r="V13" s="8"/>
    </row>
    <row r="14" spans="1:22" x14ac:dyDescent="0.25">
      <c r="A14" s="1">
        <v>23</v>
      </c>
      <c r="B14" s="2" t="s">
        <v>25</v>
      </c>
      <c r="C14" s="3"/>
      <c r="D14" s="4" t="s">
        <v>82</v>
      </c>
      <c r="E14" s="48" t="s">
        <v>267</v>
      </c>
      <c r="F14" s="49" t="s">
        <v>237</v>
      </c>
      <c r="G14" s="5" t="str">
        <f xml:space="preserve"> IF(IF(F14="MSTR", M14, R14) = 0, "", IF(F14="MSTR", M14, R14))</f>
        <v>AN14</v>
      </c>
      <c r="H14" s="6" t="str">
        <f xml:space="preserve"> IF(IF(F14="MSTR", N14, S14) = 0, "", IF(F14="MSTR", N14, S14))</f>
        <v>0-SHARED</v>
      </c>
      <c r="I14" s="6" t="str">
        <f xml:space="preserve"> IF(IF(F14="MSTR", O14, T14) = 0, "", IF(F14="MSTR", O14, T14))</f>
        <v/>
      </c>
      <c r="J14" s="6" t="str">
        <f xml:space="preserve"> IF(IF(F14="MSTR", P14, U14) = 0, "", IF(F14="MSTR", P14, U14))</f>
        <v/>
      </c>
      <c r="K14" s="14" t="str">
        <f xml:space="preserve"> IF(IF(F14="MSTR", Q14, V14) = 0, "", IF(F14="MSTR", Q14, V14))</f>
        <v>ISRC1</v>
      </c>
      <c r="L14" s="54">
        <f xml:space="preserve"> IF(F14=Settings!$A$2, 1, IF(F14=Settings!$A$3, 2,  IF(F14=Settings!$A$4, 0, "")))</f>
        <v>1</v>
      </c>
      <c r="M14" s="5" t="s">
        <v>99</v>
      </c>
      <c r="N14" s="7" t="s">
        <v>120</v>
      </c>
      <c r="O14" s="7"/>
      <c r="P14" s="7"/>
      <c r="Q14" s="8" t="s">
        <v>126</v>
      </c>
      <c r="R14" s="9" t="s">
        <v>127</v>
      </c>
      <c r="S14" s="7" t="s">
        <v>119</v>
      </c>
      <c r="T14" s="7"/>
      <c r="U14" s="7"/>
      <c r="V14" s="8"/>
    </row>
    <row r="15" spans="1:22" x14ac:dyDescent="0.25">
      <c r="A15" s="1">
        <v>27</v>
      </c>
      <c r="B15" s="2" t="s">
        <v>27</v>
      </c>
      <c r="C15" s="3"/>
      <c r="D15" s="4" t="s">
        <v>83</v>
      </c>
      <c r="E15" s="48" t="s">
        <v>269</v>
      </c>
      <c r="F15" s="49" t="s">
        <v>237</v>
      </c>
      <c r="G15" s="5" t="str">
        <f xml:space="preserve"> IF(IF(F15="MSTR", M15, R15) = 0, "", IF(F15="MSTR", M15, R15))</f>
        <v/>
      </c>
      <c r="H15" s="6" t="str">
        <f xml:space="preserve"> IF(IF(F15="MSTR", N15, S15) = 0, "", IF(F15="MSTR", N15, S15))</f>
        <v/>
      </c>
      <c r="I15" s="6" t="str">
        <f xml:space="preserve"> IF(IF(F15="MSTR", O15, T15) = 0, "", IF(F15="MSTR", O15, T15))</f>
        <v>CMP1B</v>
      </c>
      <c r="J15" s="6" t="str">
        <f xml:space="preserve"> IF(IF(F15="MSTR", P15, U15) = 0, "", IF(F15="MSTR", P15, U15))</f>
        <v/>
      </c>
      <c r="K15" s="14" t="str">
        <f xml:space="preserve"> IF(IF(F15="MSTR", Q15, V15) = 0, "", IF(F15="MSTR", Q15, V15))</f>
        <v/>
      </c>
      <c r="L15" s="54">
        <f xml:space="preserve"> IF(F15=Settings!$A$2, 1, IF(F15=Settings!$A$3, 2,  IF(F15=Settings!$A$4, 0, "")))</f>
        <v>1</v>
      </c>
      <c r="M15" s="5"/>
      <c r="N15" s="6"/>
      <c r="O15" s="6" t="s">
        <v>111</v>
      </c>
      <c r="P15" s="6"/>
      <c r="Q15" s="8"/>
      <c r="R15" s="9" t="s">
        <v>133</v>
      </c>
      <c r="S15" s="7" t="s">
        <v>109</v>
      </c>
      <c r="T15" s="7" t="s">
        <v>141</v>
      </c>
      <c r="U15" s="7"/>
      <c r="V15" s="8"/>
    </row>
    <row r="16" spans="1:22" x14ac:dyDescent="0.25">
      <c r="A16" s="1">
        <v>30</v>
      </c>
      <c r="B16" s="2" t="s">
        <v>7</v>
      </c>
      <c r="C16" s="3"/>
      <c r="D16" s="4"/>
      <c r="E16" s="48" t="s">
        <v>270</v>
      </c>
      <c r="F16" s="49" t="s">
        <v>237</v>
      </c>
      <c r="G16" s="5" t="str">
        <f xml:space="preserve"> IF(IF(F16="MSTR", M16, R16) = 0, "", IF(F16="MSTR", M16, R16))</f>
        <v/>
      </c>
      <c r="H16" s="6" t="str">
        <f xml:space="preserve"> IF(IF(F16="MSTR", N16, S16) = 0, "", IF(F16="MSTR", N16, S16))</f>
        <v/>
      </c>
      <c r="I16" s="6" t="str">
        <f xml:space="preserve"> IF(IF(F16="MSTR", O16, T16) = 0, "", IF(F16="MSTR", O16, T16))</f>
        <v/>
      </c>
      <c r="J16" s="6" t="str">
        <f xml:space="preserve"> IF(IF(F16="MSTR", P16, U16) = 0, "", IF(F16="MSTR", P16, U16))</f>
        <v/>
      </c>
      <c r="K16" s="14" t="str">
        <f xml:space="preserve"> IF(IF(F16="MSTR", Q16, V16) = 0, "", IF(F16="MSTR", Q16, V16))</f>
        <v/>
      </c>
      <c r="L16" s="54">
        <f xml:space="preserve"> IF(F16=Settings!$A$2, 1, IF(F16=Settings!$A$3, 2,  IF(F16=Settings!$A$4, 0, "")))</f>
        <v>1</v>
      </c>
      <c r="M16" s="5"/>
      <c r="N16" s="6"/>
      <c r="O16" s="6"/>
      <c r="P16" s="6"/>
      <c r="Q16" s="8"/>
      <c r="R16" s="9" t="s">
        <v>136</v>
      </c>
      <c r="S16" s="7" t="s">
        <v>109</v>
      </c>
      <c r="T16" s="7"/>
      <c r="U16" s="7"/>
      <c r="V16" s="8" t="s">
        <v>145</v>
      </c>
    </row>
    <row r="17" spans="1:22" x14ac:dyDescent="0.25">
      <c r="A17" s="1">
        <v>22</v>
      </c>
      <c r="B17" s="2" t="s">
        <v>24</v>
      </c>
      <c r="C17" s="3"/>
      <c r="D17" s="4" t="s">
        <v>81</v>
      </c>
      <c r="E17" s="48" t="s">
        <v>271</v>
      </c>
      <c r="F17" s="49" t="s">
        <v>237</v>
      </c>
      <c r="G17" s="5" t="str">
        <f xml:space="preserve"> IF(IF(F17="MSTR", M17, R17) = 0, "", IF(F17="MSTR", M17, R17))</f>
        <v>AN13</v>
      </c>
      <c r="H17" s="6" t="str">
        <f xml:space="preserve"> IF(IF(F17="MSTR", N17, S17) = 0, "", IF(F17="MSTR", N17, S17))</f>
        <v>0-SHARED</v>
      </c>
      <c r="I17" s="6" t="str">
        <f xml:space="preserve"> IF(IF(F17="MSTR", O17, T17) = 0, "", IF(F17="MSTR", O17, T17))</f>
        <v/>
      </c>
      <c r="J17" s="6" t="str">
        <f xml:space="preserve"> IF(IF(F17="MSTR", P17, U17) = 0, "", IF(F17="MSTR", P17, U17))</f>
        <v/>
      </c>
      <c r="K17" s="14" t="str">
        <f xml:space="preserve"> IF(IF(F17="MSTR", Q17, V17) = 0, "", IF(F17="MSTR", Q17, V17))</f>
        <v>ISRC0</v>
      </c>
      <c r="L17" s="54">
        <f xml:space="preserve"> IF(F17=Settings!$A$2, 1, IF(F17=Settings!$A$3, 2,  IF(F17=Settings!$A$4, 0, "")))</f>
        <v>1</v>
      </c>
      <c r="M17" s="5" t="s">
        <v>104</v>
      </c>
      <c r="N17" s="7" t="s">
        <v>120</v>
      </c>
      <c r="O17" s="7"/>
      <c r="P17" s="7"/>
      <c r="Q17" s="8" t="s">
        <v>125</v>
      </c>
      <c r="R17" s="9" t="s">
        <v>128</v>
      </c>
      <c r="S17" s="7" t="s">
        <v>122</v>
      </c>
      <c r="T17" s="7"/>
      <c r="U17" s="7"/>
      <c r="V17" s="8"/>
    </row>
    <row r="18" spans="1:22" x14ac:dyDescent="0.25">
      <c r="A18" s="1">
        <v>16</v>
      </c>
      <c r="B18" s="2" t="s">
        <v>21</v>
      </c>
      <c r="C18" s="3"/>
      <c r="D18" s="4"/>
      <c r="E18" s="48" t="s">
        <v>272</v>
      </c>
      <c r="F18" s="49" t="s">
        <v>238</v>
      </c>
      <c r="G18" s="5" t="str">
        <f xml:space="preserve"> IF(IF(F18="MSTR", M18, R18) = 0, "", IF(F18="MSTR", M18, R18))</f>
        <v>S1AN16</v>
      </c>
      <c r="H18" s="6" t="str">
        <f xml:space="preserve"> IF(IF(F18="MSTR", N18, S18) = 0, "", IF(F18="MSTR", N18, S18))</f>
        <v>2-SHARED</v>
      </c>
      <c r="I18" s="6" t="str">
        <f xml:space="preserve"> IF(IF(F18="MSTR", O18, T18) = 0, "", IF(F18="MSTR", O18, T18))</f>
        <v/>
      </c>
      <c r="J18" s="6" t="str">
        <f xml:space="preserve"> IF(IF(F18="MSTR", P18, U18) = 0, "", IF(F18="MSTR", P18, U18))</f>
        <v/>
      </c>
      <c r="K18" s="14" t="str">
        <f xml:space="preserve"> IF(IF(F18="MSTR", Q18, V18) = 0, "", IF(F18="MSTR", Q18, V18))</f>
        <v/>
      </c>
      <c r="L18" s="54">
        <f xml:space="preserve"> IF(F18=Settings!$A$2, 1, IF(F18=Settings!$A$3, 2,  IF(F18=Settings!$A$4, 0, "")))</f>
        <v>2</v>
      </c>
      <c r="M18" s="5" t="s">
        <v>70</v>
      </c>
      <c r="N18" s="7" t="s">
        <v>120</v>
      </c>
      <c r="O18" s="7"/>
      <c r="P18" s="7"/>
      <c r="Q18" s="8"/>
      <c r="R18" s="9" t="s">
        <v>115</v>
      </c>
      <c r="S18" s="7" t="s">
        <v>109</v>
      </c>
      <c r="T18" s="7"/>
      <c r="U18" s="7"/>
      <c r="V18" s="8"/>
    </row>
    <row r="19" spans="1:22" x14ac:dyDescent="0.25">
      <c r="A19" s="1">
        <v>17</v>
      </c>
      <c r="B19" s="2" t="s">
        <v>22</v>
      </c>
      <c r="C19" s="3"/>
      <c r="D19" s="4"/>
      <c r="E19" s="48" t="s">
        <v>273</v>
      </c>
      <c r="F19" s="49" t="s">
        <v>237</v>
      </c>
      <c r="G19" s="5" t="str">
        <f xml:space="preserve"> IF(IF(F19="MSTR", M19, R19) = 0, "", IF(F19="MSTR", M19, R19))</f>
        <v>AN3</v>
      </c>
      <c r="H19" s="6" t="str">
        <f xml:space="preserve"> IF(IF(F19="MSTR", N19, S19) = 0, "", IF(F19="MSTR", N19, S19))</f>
        <v>0-SHARED</v>
      </c>
      <c r="I19" s="6" t="str">
        <f xml:space="preserve"> IF(IF(F19="MSTR", O19, T19) = 0, "", IF(F19="MSTR", O19, T19))</f>
        <v/>
      </c>
      <c r="J19" s="6" t="str">
        <f xml:space="preserve"> IF(IF(F19="MSTR", P19, U19) = 0, "", IF(F19="MSTR", P19, U19))</f>
        <v/>
      </c>
      <c r="K19" s="14" t="str">
        <f xml:space="preserve"> IF(IF(F19="MSTR", Q19, V19) = 0, "", IF(F19="MSTR", Q19, V19))</f>
        <v>IBIAS0</v>
      </c>
      <c r="L19" s="54">
        <f xml:space="preserve"> IF(F19=Settings!$A$2, 1, IF(F19=Settings!$A$3, 2,  IF(F19=Settings!$A$4, 0, "")))</f>
        <v>1</v>
      </c>
      <c r="M19" s="5" t="s">
        <v>110</v>
      </c>
      <c r="N19" s="7" t="s">
        <v>120</v>
      </c>
      <c r="O19" s="7"/>
      <c r="P19" s="7"/>
      <c r="Q19" s="8" t="s">
        <v>79</v>
      </c>
      <c r="R19" s="9" t="s">
        <v>118</v>
      </c>
      <c r="S19" s="7" t="s">
        <v>119</v>
      </c>
      <c r="T19" s="7" t="s">
        <v>200</v>
      </c>
      <c r="U19" s="7"/>
      <c r="V19" s="8" t="s">
        <v>199</v>
      </c>
    </row>
    <row r="20" spans="1:22" x14ac:dyDescent="0.25">
      <c r="A20" s="1">
        <v>15</v>
      </c>
      <c r="B20" s="2" t="s">
        <v>20</v>
      </c>
      <c r="C20" s="3"/>
      <c r="D20" s="4"/>
      <c r="E20" s="48" t="s">
        <v>264</v>
      </c>
      <c r="F20" s="49" t="s">
        <v>237</v>
      </c>
      <c r="G20" s="5" t="str">
        <f xml:space="preserve"> IF(IF(F20="MSTR", M20, R20) = 0, "", IF(F20="MSTR", M20, R20))</f>
        <v>AN1</v>
      </c>
      <c r="H20" s="6" t="str">
        <f xml:space="preserve"> IF(IF(F20="MSTR", N20, S20) = 0, "", IF(F20="MSTR", N20, S20))</f>
        <v>0-SHARED</v>
      </c>
      <c r="I20" s="6" t="str">
        <f xml:space="preserve"> IF(IF(F20="MSTR", O20, T20) = 0, "", IF(F20="MSTR", O20, T20))</f>
        <v/>
      </c>
      <c r="J20" s="6" t="str">
        <f xml:space="preserve"> IF(IF(F20="MSTR", P20, U20) = 0, "", IF(F20="MSTR", P20, U20))</f>
        <v/>
      </c>
      <c r="K20" s="14" t="str">
        <f xml:space="preserve"> IF(IF(F20="MSTR", Q20, V20) = 0, "", IF(F20="MSTR", Q20, V20))</f>
        <v/>
      </c>
      <c r="L20" s="54">
        <f xml:space="preserve"> IF(F20=Settings!$A$2, 1, IF(F20=Settings!$A$3, 2,  IF(F20=Settings!$A$4, 0, "")))</f>
        <v>1</v>
      </c>
      <c r="M20" s="5" t="s">
        <v>69</v>
      </c>
      <c r="N20" s="7" t="s">
        <v>120</v>
      </c>
      <c r="O20" s="7"/>
      <c r="P20" s="7"/>
      <c r="Q20" s="8"/>
      <c r="R20" s="9" t="s">
        <v>116</v>
      </c>
      <c r="S20" s="7" t="s">
        <v>109</v>
      </c>
      <c r="T20" s="7"/>
      <c r="U20" s="7"/>
      <c r="V20" s="8"/>
    </row>
    <row r="21" spans="1:22" x14ac:dyDescent="0.25">
      <c r="A21" s="1">
        <v>18</v>
      </c>
      <c r="B21" s="2" t="s">
        <v>23</v>
      </c>
      <c r="C21" s="3" t="s">
        <v>228</v>
      </c>
      <c r="D21" s="4"/>
      <c r="E21" s="48" t="s">
        <v>274</v>
      </c>
      <c r="F21" s="49" t="s">
        <v>237</v>
      </c>
      <c r="G21" s="5" t="str">
        <f xml:space="preserve"> IF(IF(F21="MSTR", M21, R21) = 0, "", IF(F21="MSTR", M21, R21))</f>
        <v>AN4</v>
      </c>
      <c r="H21" s="6" t="str">
        <f xml:space="preserve"> IF(IF(F21="MSTR", N21, S21) = 0, "", IF(F21="MSTR", N21, S21))</f>
        <v>0-SHARED</v>
      </c>
      <c r="I21" s="6" t="str">
        <f xml:space="preserve"> IF(IF(F21="MSTR", O21, T21) = 0, "", IF(F21="MSTR", O21, T21))</f>
        <v/>
      </c>
      <c r="J21" s="6" t="str">
        <f xml:space="preserve"> IF(IF(F21="MSTR", P21, U21) = 0, "", IF(F21="MSTR", P21, U21))</f>
        <v/>
      </c>
      <c r="K21" s="14" t="str">
        <f xml:space="preserve"> IF(IF(F21="MSTR", Q21, V21) = 0, "", IF(F21="MSTR", Q21, V21))</f>
        <v>IBIAS1</v>
      </c>
      <c r="L21" s="54">
        <f xml:space="preserve"> IF(F21=Settings!$A$2, 1, IF(F21=Settings!$A$3, 2,  IF(F21=Settings!$A$4, 0, "")))</f>
        <v>1</v>
      </c>
      <c r="M21" s="5" t="s">
        <v>103</v>
      </c>
      <c r="N21" s="7" t="s">
        <v>120</v>
      </c>
      <c r="O21" s="7"/>
      <c r="P21" s="7"/>
      <c r="Q21" s="8" t="s">
        <v>80</v>
      </c>
      <c r="R21" s="9" t="s">
        <v>121</v>
      </c>
      <c r="S21" s="7" t="s">
        <v>122</v>
      </c>
      <c r="T21" s="7" t="s">
        <v>201</v>
      </c>
      <c r="U21" s="7"/>
      <c r="V21" s="8" t="s">
        <v>227</v>
      </c>
    </row>
    <row r="22" spans="1:22" x14ac:dyDescent="0.25">
      <c r="A22" s="1">
        <v>14</v>
      </c>
      <c r="B22" s="2" t="s">
        <v>19</v>
      </c>
      <c r="C22" s="3"/>
      <c r="D22" s="4"/>
      <c r="E22" s="48" t="s">
        <v>263</v>
      </c>
      <c r="F22" s="49" t="s">
        <v>238</v>
      </c>
      <c r="G22" s="5" t="str">
        <f xml:space="preserve"> IF(IF(F22="MSTR", M22, R22) = 0, "", IF(F22="MSTR", M22, R22))</f>
        <v/>
      </c>
      <c r="H22" s="6" t="str">
        <f xml:space="preserve"> IF(IF(F22="MSTR", N22, S22) = 0, "", IF(F22="MSTR", N22, S22))</f>
        <v/>
      </c>
      <c r="I22" s="6" t="str">
        <f xml:space="preserve"> IF(IF(F22="MSTR", O22, T22) = 0, "", IF(F22="MSTR", O22, T22))</f>
        <v/>
      </c>
      <c r="J22" s="6" t="str">
        <f xml:space="preserve"> IF(IF(F22="MSTR", P22, U22) = 0, "", IF(F22="MSTR", P22, U22))</f>
        <v/>
      </c>
      <c r="K22" s="14" t="str">
        <f xml:space="preserve"> IF(IF(F22="MSTR", Q22, V22) = 0, "", IF(F22="MSTR", Q22, V22))</f>
        <v/>
      </c>
      <c r="L22" s="54">
        <f xml:space="preserve"> IF(F22=Settings!$A$2, 1, IF(F22=Settings!$A$3, 2,  IF(F22=Settings!$A$4, 0, "")))</f>
        <v>2</v>
      </c>
      <c r="M22" s="5" t="s">
        <v>98</v>
      </c>
      <c r="N22" s="7" t="s">
        <v>120</v>
      </c>
      <c r="O22" s="7" t="s">
        <v>202</v>
      </c>
      <c r="P22" s="7"/>
      <c r="Q22" s="8"/>
      <c r="R22" s="9"/>
      <c r="S22" s="7"/>
      <c r="T22" s="7"/>
      <c r="U22" s="7"/>
      <c r="V22" s="8"/>
    </row>
    <row r="23" spans="1:22" x14ac:dyDescent="0.25">
      <c r="A23" s="1">
        <v>31</v>
      </c>
      <c r="B23" s="2" t="s">
        <v>30</v>
      </c>
      <c r="C23" s="3"/>
      <c r="D23" s="4"/>
      <c r="E23" s="48" t="s">
        <v>275</v>
      </c>
      <c r="F23" s="49" t="s">
        <v>237</v>
      </c>
      <c r="G23" s="5" t="str">
        <f xml:space="preserve"> IF(IF(F23="MSTR", M23, R23) = 0, "", IF(F23="MSTR", M23, R23))</f>
        <v/>
      </c>
      <c r="H23" s="6" t="str">
        <f xml:space="preserve"> IF(IF(F23="MSTR", N23, S23) = 0, "", IF(F23="MSTR", N23, S23))</f>
        <v/>
      </c>
      <c r="I23" s="6" t="str">
        <f xml:space="preserve"> IF(IF(F23="MSTR", O23, T23) = 0, "", IF(F23="MSTR", O23, T23))</f>
        <v/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ISRC3</v>
      </c>
      <c r="L23" s="54">
        <f xml:space="preserve"> IF(F23=Settings!$A$2, 1, IF(F23=Settings!$A$3, 2,  IF(F23=Settings!$A$4, 0, "")))</f>
        <v>1</v>
      </c>
      <c r="M23" s="5"/>
      <c r="N23" s="6"/>
      <c r="O23" s="6"/>
      <c r="P23" s="6"/>
      <c r="Q23" s="8" t="s">
        <v>72</v>
      </c>
      <c r="R23" s="9" t="s">
        <v>137</v>
      </c>
      <c r="S23" s="7" t="s">
        <v>109</v>
      </c>
      <c r="T23" s="7" t="s">
        <v>146</v>
      </c>
      <c r="U23" s="7"/>
      <c r="V23" s="8"/>
    </row>
    <row r="24" spans="1:22" x14ac:dyDescent="0.25">
      <c r="A24" s="1">
        <v>21</v>
      </c>
      <c r="B24" s="2" t="s">
        <v>6</v>
      </c>
      <c r="C24" s="3"/>
      <c r="D24" s="4"/>
      <c r="E24" s="48" t="s">
        <v>276</v>
      </c>
      <c r="F24" s="49" t="s">
        <v>237</v>
      </c>
      <c r="G24" s="5" t="str">
        <f xml:space="preserve"> IF(IF(F24="MSTR", M24, R24) = 0, "", IF(F24="MSTR", M24, R24))</f>
        <v/>
      </c>
      <c r="H24" s="6" t="str">
        <f xml:space="preserve"> IF(IF(F24="MSTR", N24, S24) = 0, "", IF(F24="MSTR", N24, S24))</f>
        <v/>
      </c>
      <c r="I24" s="6" t="str">
        <f xml:space="preserve"> IF(IF(F24="MSTR", O24, T24) = 0, "", IF(F24="MSTR", O24, T24))</f>
        <v/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/>
      </c>
      <c r="L24" s="54">
        <f xml:space="preserve"> IF(F24=Settings!$A$2, 1, IF(F24=Settings!$A$3, 2,  IF(F24=Settings!$A$4, 0, "")))</f>
        <v>1</v>
      </c>
      <c r="M24" s="5"/>
      <c r="N24" s="6"/>
      <c r="O24" s="6"/>
      <c r="P24" s="6"/>
      <c r="Q24" s="8"/>
      <c r="R24" s="9" t="s">
        <v>131</v>
      </c>
      <c r="S24" s="7" t="s">
        <v>109</v>
      </c>
      <c r="T24" s="7"/>
      <c r="U24" s="7"/>
      <c r="V24" s="8" t="s">
        <v>132</v>
      </c>
    </row>
    <row r="25" spans="1:22" ht="45" x14ac:dyDescent="0.25">
      <c r="A25" s="1">
        <v>24</v>
      </c>
      <c r="B25" s="2" t="s">
        <v>26</v>
      </c>
      <c r="C25" s="3"/>
      <c r="D25" s="4" t="s">
        <v>71</v>
      </c>
      <c r="E25" s="48" t="s">
        <v>277</v>
      </c>
      <c r="F25" s="49" t="s">
        <v>237</v>
      </c>
      <c r="G25" s="5" t="str">
        <f xml:space="preserve"> IF(IF(F25="MSTR", M25, R25) = 0, "", IF(F25="MSTR", M25, R25))</f>
        <v/>
      </c>
      <c r="H25" s="6" t="str">
        <f xml:space="preserve"> IF(IF(F25="MSTR", N25, S25) = 0, "", IF(F25="MSTR", N25, S25))</f>
        <v/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/>
      </c>
      <c r="L25" s="54">
        <f xml:space="preserve"> IF(F25=Settings!$A$2, 1, IF(F25=Settings!$A$3, 2,  IF(F25=Settings!$A$4, 0, "")))</f>
        <v>1</v>
      </c>
      <c r="M25" s="5"/>
      <c r="N25" s="6"/>
      <c r="O25" s="6"/>
      <c r="P25" s="6"/>
      <c r="Q25" s="8"/>
      <c r="R25" s="9" t="s">
        <v>130</v>
      </c>
      <c r="S25" s="7" t="s">
        <v>109</v>
      </c>
      <c r="T25" s="7" t="s">
        <v>129</v>
      </c>
      <c r="U25" s="7"/>
      <c r="V25" s="8"/>
    </row>
    <row r="26" spans="1:22" x14ac:dyDescent="0.25">
      <c r="A26" s="1">
        <v>29</v>
      </c>
      <c r="B26" s="2" t="s">
        <v>29</v>
      </c>
      <c r="C26" s="3"/>
      <c r="D26" s="4" t="s">
        <v>85</v>
      </c>
      <c r="E26" s="48" t="s">
        <v>278</v>
      </c>
      <c r="F26" s="49" t="s">
        <v>237</v>
      </c>
      <c r="G26" s="5" t="str">
        <f xml:space="preserve"> IF(IF(F26="MSTR", M26, R26) = 0, "", IF(F26="MSTR", M26, R26))</f>
        <v>AN6</v>
      </c>
      <c r="H26" s="6" t="str">
        <f xml:space="preserve"> IF(IF(F26="MSTR", N26, S26) = 0, "", IF(F26="MSTR", N26, S26))</f>
        <v>0-SHARED</v>
      </c>
      <c r="I26" s="6" t="str">
        <f xml:space="preserve"> IF(IF(F26="MSTR", O26, T26) = 0, "", IF(F26="MSTR", O26, T26))</f>
        <v/>
      </c>
      <c r="J26" s="6" t="str">
        <f xml:space="preserve"> IF(IF(F26="MSTR", P26, U26) = 0, "", IF(F26="MSTR", P26, U26))</f>
        <v/>
      </c>
      <c r="K26" s="14" t="str">
        <f xml:space="preserve"> IF(IF(F26="MSTR", Q26, V26) = 0, "", IF(F26="MSTR", Q26, V26))</f>
        <v>OSCO/CLKO/IBIAS2</v>
      </c>
      <c r="L26" s="54">
        <f xml:space="preserve"> IF(F26=Settings!$A$2, 1, IF(F26=Settings!$A$3, 2,  IF(F26=Settings!$A$4, 0, "")))</f>
        <v>1</v>
      </c>
      <c r="M26" s="5" t="s">
        <v>143</v>
      </c>
      <c r="N26" s="7" t="s">
        <v>120</v>
      </c>
      <c r="O26" s="7"/>
      <c r="P26" s="7"/>
      <c r="Q26" s="8" t="s">
        <v>144</v>
      </c>
      <c r="R26" s="9" t="s">
        <v>135</v>
      </c>
      <c r="S26" s="7" t="s">
        <v>109</v>
      </c>
      <c r="T26" s="7"/>
      <c r="U26" s="7"/>
      <c r="V26" s="8"/>
    </row>
    <row r="27" spans="1:22" x14ac:dyDescent="0.25">
      <c r="A27" s="1">
        <v>36</v>
      </c>
      <c r="B27" s="2" t="s">
        <v>35</v>
      </c>
      <c r="C27" s="3"/>
      <c r="D27" s="4" t="s">
        <v>107</v>
      </c>
      <c r="E27" s="48" t="s">
        <v>279</v>
      </c>
      <c r="F27" s="49" t="s">
        <v>237</v>
      </c>
      <c r="G27" s="5" t="str">
        <f xml:space="preserve"> IF(IF(F27="MSTR", M27, R27) = 0, "", IF(F27="MSTR", M27, R27))</f>
        <v/>
      </c>
      <c r="H27" s="6" t="str">
        <f xml:space="preserve"> IF(IF(F27="MSTR", N27, S27) = 0, "", IF(F27="MSTR", N27, S27))</f>
        <v/>
      </c>
      <c r="I27" s="6" t="str">
        <f xml:space="preserve"> IF(IF(F27="MSTR", O27, T27) = 0, "", IF(F27="MSTR", O27, T27))</f>
        <v/>
      </c>
      <c r="J27" s="6" t="str">
        <f xml:space="preserve"> IF(IF(F27="MSTR", P27, U27) = 0, "", IF(F27="MSTR", P27, U27))</f>
        <v/>
      </c>
      <c r="K27" s="14" t="str">
        <f xml:space="preserve"> IF(IF(F27="MSTR", Q27, V27) = 0, "", IF(F27="MSTR", Q27, V27))</f>
        <v>ASDA1/SCK2</v>
      </c>
      <c r="L27" s="54">
        <f xml:space="preserve"> IF(F27=Settings!$A$2, 1, IF(F27=Settings!$A$3, 2,  IF(F27=Settings!$A$4, 0, "")))</f>
        <v>1</v>
      </c>
      <c r="M27" s="5"/>
      <c r="N27" s="6"/>
      <c r="O27" s="6"/>
      <c r="P27" s="6"/>
      <c r="Q27" s="8" t="s">
        <v>123</v>
      </c>
      <c r="R27" s="9"/>
      <c r="S27" s="7"/>
      <c r="T27" s="7"/>
      <c r="U27" s="7"/>
      <c r="V27" s="8" t="s">
        <v>163</v>
      </c>
    </row>
    <row r="28" spans="1:22" x14ac:dyDescent="0.25">
      <c r="A28" s="1">
        <v>63</v>
      </c>
      <c r="B28" s="2" t="s">
        <v>58</v>
      </c>
      <c r="C28" s="3"/>
      <c r="D28" s="4" t="s">
        <v>189</v>
      </c>
      <c r="E28" s="48" t="s">
        <v>280</v>
      </c>
      <c r="F28" s="49" t="s">
        <v>237</v>
      </c>
      <c r="G28" s="5" t="str">
        <f xml:space="preserve"> IF(IF(F28="MSTR", M28, R28) = 0, "", IF(F28="MSTR", M28, R28))</f>
        <v/>
      </c>
      <c r="H28" s="6" t="str">
        <f xml:space="preserve"> IF(IF(F28="MSTR", N28, S28) = 0, "", IF(F28="MSTR", N28, S28))</f>
        <v/>
      </c>
      <c r="I28" s="6" t="str">
        <f xml:space="preserve"> IF(IF(F28="MSTR", O28, T28) = 0, "", IF(F28="MSTR", O28, T28))</f>
        <v/>
      </c>
      <c r="J28" s="6" t="str">
        <f xml:space="preserve"> IF(IF(F28="MSTR", P28, U28) = 0, "", IF(F28="MSTR", P28, U28))</f>
        <v>PWM2H</v>
      </c>
      <c r="K28" s="14" t="str">
        <f xml:space="preserve"> IF(IF(F28="MSTR", Q28, V28) = 0, "", IF(F28="MSTR", Q28, V28))</f>
        <v>TDI</v>
      </c>
      <c r="L28" s="54">
        <f xml:space="preserve"> IF(F28=Settings!$A$2, 1, IF(F28=Settings!$A$3, 2,  IF(F28=Settings!$A$4, 0, "")))</f>
        <v>1</v>
      </c>
      <c r="M28" s="5"/>
      <c r="N28" s="6"/>
      <c r="O28" s="6"/>
      <c r="P28" s="6" t="s">
        <v>212</v>
      </c>
      <c r="Q28" s="8" t="s">
        <v>214</v>
      </c>
      <c r="R28" s="9"/>
      <c r="S28" s="7"/>
      <c r="T28" s="7"/>
      <c r="U28" s="7"/>
      <c r="V28" s="8"/>
    </row>
    <row r="29" spans="1:22" x14ac:dyDescent="0.25">
      <c r="A29" s="1">
        <v>11</v>
      </c>
      <c r="B29" s="2" t="s">
        <v>17</v>
      </c>
      <c r="C29" s="3"/>
      <c r="D29" s="4"/>
      <c r="E29" s="48" t="s">
        <v>281</v>
      </c>
      <c r="F29" s="49" t="s">
        <v>237</v>
      </c>
      <c r="G29" s="5" t="str">
        <f xml:space="preserve"> IF(IF(F29="MSTR", M29, R29) = 0, "", IF(F29="MSTR", M29, R29))</f>
        <v/>
      </c>
      <c r="H29" s="6" t="str">
        <f xml:space="preserve"> IF(IF(F29="MSTR", N29, S29) = 0, "", IF(F29="MSTR", N29, S29))</f>
        <v/>
      </c>
      <c r="I29" s="6" t="str">
        <f xml:space="preserve"> IF(IF(F29="MSTR", O29, T29) = 0, "", IF(F29="MSTR", O29, T29))</f>
        <v/>
      </c>
      <c r="J29" s="6" t="str">
        <f xml:space="preserve"> IF(IF(F29="MSTR", P29, U29) = 0, "", IF(F29="MSTR", P29, U29))</f>
        <v/>
      </c>
      <c r="K29" s="14" t="str">
        <f xml:space="preserve"> IF(IF(F29="MSTR", Q29, V29) = 0, "", IF(F29="MSTR", Q29, V29))</f>
        <v>PCI21</v>
      </c>
      <c r="L29" s="54">
        <f xml:space="preserve"> IF(F29=Settings!$A$2, 1, IF(F29=Settings!$A$3, 2,  IF(F29=Settings!$A$4, 0, "")))</f>
        <v>1</v>
      </c>
      <c r="M29" s="5"/>
      <c r="N29" s="6"/>
      <c r="O29" s="6"/>
      <c r="P29" s="6"/>
      <c r="Q29" s="8" t="s">
        <v>68</v>
      </c>
      <c r="R29" s="9" t="s">
        <v>203</v>
      </c>
      <c r="S29" s="7" t="s">
        <v>122</v>
      </c>
      <c r="T29" s="7"/>
      <c r="U29" s="7"/>
      <c r="V29" s="8" t="s">
        <v>206</v>
      </c>
    </row>
    <row r="30" spans="1:22" x14ac:dyDescent="0.25">
      <c r="A30" s="1">
        <v>64</v>
      </c>
      <c r="B30" s="2" t="s">
        <v>59</v>
      </c>
      <c r="C30" s="3"/>
      <c r="D30" s="4" t="s">
        <v>190</v>
      </c>
      <c r="E30" s="48" t="s">
        <v>282</v>
      </c>
      <c r="F30" s="49" t="s">
        <v>237</v>
      </c>
      <c r="G30" s="5" t="str">
        <f xml:space="preserve"> IF(IF(F30="MSTR", M30, R30) = 0, "", IF(F30="MSTR", M30, R30))</f>
        <v/>
      </c>
      <c r="H30" s="6" t="str">
        <f xml:space="preserve"> IF(IF(F30="MSTR", N30, S30) = 0, "", IF(F30="MSTR", N30, S30))</f>
        <v/>
      </c>
      <c r="I30" s="6" t="str">
        <f xml:space="preserve"> IF(IF(F30="MSTR", O30, T30) = 0, "", IF(F30="MSTR", O30, T30))</f>
        <v/>
      </c>
      <c r="J30" s="6" t="str">
        <f xml:space="preserve"> IF(IF(F30="MSTR", P30, U30) = 0, "", IF(F30="MSTR", P30, U30))</f>
        <v>PWM2L</v>
      </c>
      <c r="K30" s="14" t="str">
        <f xml:space="preserve"> IF(IF(F30="MSTR", Q30, V30) = 0, "", IF(F30="MSTR", Q30, V30))</f>
        <v/>
      </c>
      <c r="L30" s="54">
        <f xml:space="preserve"> IF(F30=Settings!$A$2, 1, IF(F30=Settings!$A$3, 2,  IF(F30=Settings!$A$4, 0, "")))</f>
        <v>1</v>
      </c>
      <c r="M30" s="5"/>
      <c r="N30" s="6"/>
      <c r="O30" s="6"/>
      <c r="P30" s="6" t="s">
        <v>197</v>
      </c>
      <c r="Q30" s="8"/>
      <c r="R30" s="9"/>
      <c r="S30" s="7"/>
      <c r="T30" s="7"/>
      <c r="U30" s="7"/>
      <c r="V30" s="8"/>
    </row>
    <row r="31" spans="1:22" x14ac:dyDescent="0.25">
      <c r="A31" s="1">
        <v>38</v>
      </c>
      <c r="B31" s="2" t="s">
        <v>37</v>
      </c>
      <c r="C31" s="3"/>
      <c r="D31" s="4"/>
      <c r="E31" s="48" t="s">
        <v>283</v>
      </c>
      <c r="F31" s="49" t="s">
        <v>237</v>
      </c>
      <c r="G31" s="5" t="str">
        <f xml:space="preserve"> IF(IF(F31="MSTR", M31, R31) = 0, "", IF(F31="MSTR", M31, R31))</f>
        <v/>
      </c>
      <c r="H31" s="6" t="str">
        <f xml:space="preserve"> IF(IF(F31="MSTR", N31, S31) = 0, "", IF(F31="MSTR", N31, S31))</f>
        <v/>
      </c>
      <c r="I31" s="6" t="str">
        <f xml:space="preserve"> IF(IF(F31="MSTR", O31, T31) = 0, "", IF(F31="MSTR", O31, T31))</f>
        <v/>
      </c>
      <c r="J31" s="6" t="str">
        <f xml:space="preserve"> IF(IF(F31="MSTR", P31, U31) = 0, "", IF(F31="MSTR", P31, U31))</f>
        <v/>
      </c>
      <c r="K31" s="14" t="str">
        <f xml:space="preserve"> IF(IF(F31="MSTR", Q31, V31) = 0, "", IF(F31="MSTR", Q31, V31))</f>
        <v>PCI20</v>
      </c>
      <c r="L31" s="54">
        <f xml:space="preserve"> IF(F31=Settings!$A$2, 1, IF(F31=Settings!$A$3, 2,  IF(F31=Settings!$A$4, 0, "")))</f>
        <v>1</v>
      </c>
      <c r="M31" s="5"/>
      <c r="N31" s="6"/>
      <c r="O31" s="6"/>
      <c r="P31" s="6"/>
      <c r="Q31" s="8" t="s">
        <v>73</v>
      </c>
      <c r="R31" s="9"/>
      <c r="S31" s="7"/>
      <c r="T31" s="7"/>
      <c r="U31" s="7"/>
      <c r="V31" s="8" t="s">
        <v>140</v>
      </c>
    </row>
    <row r="32" spans="1:22" x14ac:dyDescent="0.25">
      <c r="A32" s="1">
        <v>43</v>
      </c>
      <c r="B32" s="2" t="s">
        <v>40</v>
      </c>
      <c r="C32" s="3"/>
      <c r="D32" s="4" t="s">
        <v>151</v>
      </c>
      <c r="E32" s="48" t="s">
        <v>284</v>
      </c>
      <c r="F32" s="49" t="s">
        <v>237</v>
      </c>
      <c r="G32" s="5" t="str">
        <f xml:space="preserve"> IF(IF(F32="MSTR", M32, R32) = 0, "", IF(F32="MSTR", M32, R32))</f>
        <v/>
      </c>
      <c r="H32" s="6" t="str">
        <f xml:space="preserve"> IF(IF(F32="MSTR", N32, S32) = 0, "", IF(F32="MSTR", N32, S32))</f>
        <v/>
      </c>
      <c r="I32" s="6" t="str">
        <f xml:space="preserve"> IF(IF(F32="MSTR", O32, T32) = 0, "", IF(F32="MSTR", O32, T32))</f>
        <v/>
      </c>
      <c r="J32" s="6" t="str">
        <f xml:space="preserve"> IF(IF(F32="MSTR", P32, U32) = 0, "", IF(F32="MSTR", P32, U32))</f>
        <v/>
      </c>
      <c r="K32" s="14" t="str">
        <f xml:space="preserve"> IF(IF(F32="MSTR", Q32, V32) = 0, "", IF(F32="MSTR", Q32, V32))</f>
        <v/>
      </c>
      <c r="L32" s="54">
        <f xml:space="preserve"> IF(F32=Settings!$A$2, 1, IF(F32=Settings!$A$3, 2,  IF(F32=Settings!$A$4, 0, "")))</f>
        <v>1</v>
      </c>
      <c r="M32" s="5"/>
      <c r="N32" s="6"/>
      <c r="O32" s="6"/>
      <c r="P32" s="6"/>
      <c r="Q32" s="8"/>
      <c r="R32" s="9"/>
      <c r="S32" s="7"/>
      <c r="T32" s="7"/>
      <c r="U32" s="7" t="s">
        <v>168</v>
      </c>
      <c r="V32" s="8"/>
    </row>
    <row r="33" spans="1:22" x14ac:dyDescent="0.25">
      <c r="A33" s="1">
        <v>37</v>
      </c>
      <c r="B33" s="2" t="s">
        <v>36</v>
      </c>
      <c r="C33" s="3"/>
      <c r="D33" s="4" t="s">
        <v>108</v>
      </c>
      <c r="E33" s="48" t="s">
        <v>285</v>
      </c>
      <c r="F33" s="49" t="s">
        <v>237</v>
      </c>
      <c r="G33" s="5" t="str">
        <f xml:space="preserve"> IF(IF(F33="MSTR", M33, R33) = 0, "", IF(F33="MSTR", M33, R33))</f>
        <v/>
      </c>
      <c r="H33" s="6" t="str">
        <f xml:space="preserve"> IF(IF(F33="MSTR", N33, S33) = 0, "", IF(F33="MSTR", N33, S33))</f>
        <v/>
      </c>
      <c r="I33" s="6" t="str">
        <f xml:space="preserve"> IF(IF(F33="MSTR", O33, T33) = 0, "", IF(F33="MSTR", O33, T33))</f>
        <v/>
      </c>
      <c r="J33" s="6" t="str">
        <f xml:space="preserve"> IF(IF(F33="MSTR", P33, U33) = 0, "", IF(F33="MSTR", P33, U33))</f>
        <v/>
      </c>
      <c r="K33" s="14" t="str">
        <f xml:space="preserve"> IF(IF(F33="MSTR", Q33, V33) = 0, "", IF(F33="MSTR", Q33, V33))</f>
        <v>ASCL1/SDI2</v>
      </c>
      <c r="L33" s="54">
        <f xml:space="preserve"> IF(F33=Settings!$A$2, 1, IF(F33=Settings!$A$3, 2,  IF(F33=Settings!$A$4, 0, "")))</f>
        <v>1</v>
      </c>
      <c r="M33" s="5"/>
      <c r="N33" s="6"/>
      <c r="O33" s="6"/>
      <c r="P33" s="6"/>
      <c r="Q33" s="8" t="s">
        <v>124</v>
      </c>
      <c r="R33" s="9"/>
      <c r="S33" s="7"/>
      <c r="T33" s="7"/>
      <c r="U33" s="7"/>
      <c r="V33" s="8" t="s">
        <v>164</v>
      </c>
    </row>
    <row r="34" spans="1:22" x14ac:dyDescent="0.25">
      <c r="A34" s="1">
        <v>44</v>
      </c>
      <c r="B34" s="2" t="s">
        <v>41</v>
      </c>
      <c r="C34" s="3"/>
      <c r="D34" s="4" t="s">
        <v>154</v>
      </c>
      <c r="E34" s="48" t="s">
        <v>286</v>
      </c>
      <c r="F34" s="49" t="s">
        <v>237</v>
      </c>
      <c r="G34" s="5" t="str">
        <f xml:space="preserve"> IF(IF(F34="MSTR", M34, R34) = 0, "", IF(F34="MSTR", M34, R34))</f>
        <v/>
      </c>
      <c r="H34" s="6" t="str">
        <f xml:space="preserve"> IF(IF(F34="MSTR", N34, S34) = 0, "", IF(F34="MSTR", N34, S34))</f>
        <v/>
      </c>
      <c r="I34" s="6" t="str">
        <f xml:space="preserve"> IF(IF(F34="MSTR", O34, T34) = 0, "", IF(F34="MSTR", O34, T34))</f>
        <v/>
      </c>
      <c r="J34" s="6" t="str">
        <f xml:space="preserve"> IF(IF(F34="MSTR", P34, U34) = 0, "", IF(F34="MSTR", P34, U34))</f>
        <v/>
      </c>
      <c r="K34" s="14" t="str">
        <f xml:space="preserve"> IF(IF(F34="MSTR", Q34, V34) = 0, "", IF(F34="MSTR", Q34, V34))</f>
        <v/>
      </c>
      <c r="L34" s="54">
        <f xml:space="preserve"> IF(F34=Settings!$A$2, 1, IF(F34=Settings!$A$3, 2,  IF(F34=Settings!$A$4, 0, "")))</f>
        <v>1</v>
      </c>
      <c r="M34" s="5"/>
      <c r="N34" s="6"/>
      <c r="O34" s="6"/>
      <c r="P34" s="6"/>
      <c r="Q34" s="8"/>
      <c r="R34" s="9"/>
      <c r="S34" s="7"/>
      <c r="T34" s="7"/>
      <c r="U34" s="7" t="s">
        <v>169</v>
      </c>
      <c r="V34" s="8"/>
    </row>
    <row r="35" spans="1:22" x14ac:dyDescent="0.25">
      <c r="A35" s="1">
        <v>62</v>
      </c>
      <c r="B35" s="2" t="s">
        <v>57</v>
      </c>
      <c r="C35" s="3"/>
      <c r="D35" s="4" t="s">
        <v>188</v>
      </c>
      <c r="E35" s="48" t="s">
        <v>287</v>
      </c>
      <c r="F35" s="49" t="s">
        <v>237</v>
      </c>
      <c r="G35" s="5" t="str">
        <f xml:space="preserve"> IF(IF(F35="MSTR", M35, R35) = 0, "", IF(F35="MSTR", M35, R35))</f>
        <v/>
      </c>
      <c r="H35" s="6" t="str">
        <f xml:space="preserve"> IF(IF(F35="MSTR", N35, S35) = 0, "", IF(F35="MSTR", N35, S35))</f>
        <v/>
      </c>
      <c r="I35" s="6" t="str">
        <f xml:space="preserve"> IF(IF(F35="MSTR", O35, T35) = 0, "", IF(F35="MSTR", O35, T35))</f>
        <v/>
      </c>
      <c r="J35" s="6" t="str">
        <f xml:space="preserve"> IF(IF(F35="MSTR", P35, U35) = 0, "", IF(F35="MSTR", P35, U35))</f>
        <v>PWM3L</v>
      </c>
      <c r="K35" s="14" t="str">
        <f xml:space="preserve"> IF(IF(F35="MSTR", Q35, V35) = 0, "", IF(F35="MSTR", Q35, V35))</f>
        <v>TCK</v>
      </c>
      <c r="L35" s="54">
        <f xml:space="preserve"> IF(F35=Settings!$A$2, 1, IF(F35=Settings!$A$3, 2,  IF(F35=Settings!$A$4, 0, "")))</f>
        <v>1</v>
      </c>
      <c r="M35" s="5"/>
      <c r="N35" s="6"/>
      <c r="O35" s="6"/>
      <c r="P35" s="6" t="s">
        <v>243</v>
      </c>
      <c r="Q35" s="8" t="s">
        <v>213</v>
      </c>
      <c r="R35" s="9"/>
      <c r="S35" s="7"/>
      <c r="T35" s="7"/>
      <c r="U35" s="7"/>
      <c r="V35" s="8"/>
    </row>
    <row r="36" spans="1:22" x14ac:dyDescent="0.25">
      <c r="A36" s="1">
        <v>1</v>
      </c>
      <c r="B36" s="2" t="s">
        <v>10</v>
      </c>
      <c r="C36" s="3"/>
      <c r="D36" s="4" t="s">
        <v>61</v>
      </c>
      <c r="E36" s="48" t="s">
        <v>288</v>
      </c>
      <c r="F36" s="49" t="s">
        <v>237</v>
      </c>
      <c r="G36" s="5" t="str">
        <f xml:space="preserve"> IF(IF(F36="MSTR", M36, R36) = 0, "", IF(F36="MSTR", M36, R36))</f>
        <v/>
      </c>
      <c r="H36" s="6" t="str">
        <f xml:space="preserve"> IF(IF(F36="MSTR", N36, S36) = 0, "", IF(F36="MSTR", N36, S36))</f>
        <v/>
      </c>
      <c r="I36" s="6" t="str">
        <f xml:space="preserve"> IF(IF(F36="MSTR", O36, T36) = 0, "", IF(F36="MSTR", O36, T36))</f>
        <v/>
      </c>
      <c r="J36" s="6" t="str">
        <f xml:space="preserve"> IF(IF(F36="MSTR", P36, U36) = 0, "", IF(F36="MSTR", P36, U36))</f>
        <v>PWM1H</v>
      </c>
      <c r="K36" s="14" t="str">
        <f xml:space="preserve"> IF(IF(F36="MSTR", Q36, V36) = 0, "", IF(F36="MSTR", Q36, V36))</f>
        <v/>
      </c>
      <c r="L36" s="54">
        <f xml:space="preserve"> IF(F36=Settings!$A$2, 1, IF(F36=Settings!$A$3, 2,  IF(F36=Settings!$A$4, 0, "")))</f>
        <v>1</v>
      </c>
      <c r="M36" s="5"/>
      <c r="N36" s="6"/>
      <c r="O36" s="6"/>
      <c r="P36" s="7" t="s">
        <v>62</v>
      </c>
      <c r="Q36" s="8"/>
      <c r="R36" s="9"/>
      <c r="S36" s="7"/>
      <c r="T36" s="7"/>
      <c r="U36" s="7"/>
      <c r="V36" s="8"/>
    </row>
    <row r="37" spans="1:22" x14ac:dyDescent="0.25">
      <c r="A37" s="1">
        <v>61</v>
      </c>
      <c r="B37" s="2" t="s">
        <v>56</v>
      </c>
      <c r="C37" s="3"/>
      <c r="D37" s="4" t="s">
        <v>187</v>
      </c>
      <c r="E37" s="48" t="s">
        <v>289</v>
      </c>
      <c r="F37" s="49" t="s">
        <v>237</v>
      </c>
      <c r="G37" s="5" t="str">
        <f xml:space="preserve"> IF(IF(F37="MSTR", M37, R37) = 0, "", IF(F37="MSTR", M37, R37))</f>
        <v/>
      </c>
      <c r="H37" s="6" t="str">
        <f xml:space="preserve"> IF(IF(F37="MSTR", N37, S37) = 0, "", IF(F37="MSTR", N37, S37))</f>
        <v/>
      </c>
      <c r="I37" s="6" t="str">
        <f xml:space="preserve"> IF(IF(F37="MSTR", O37, T37) = 0, "", IF(F37="MSTR", O37, T37))</f>
        <v/>
      </c>
      <c r="J37" s="6" t="str">
        <f xml:space="preserve"> IF(IF(F37="MSTR", P37, U37) = 0, "", IF(F37="MSTR", P37, U37))</f>
        <v>PWM3H</v>
      </c>
      <c r="K37" s="14" t="str">
        <f xml:space="preserve"> IF(IF(F37="MSTR", Q37, V37) = 0, "", IF(F37="MSTR", Q37, V37))</f>
        <v>TMS</v>
      </c>
      <c r="L37" s="54">
        <f xml:space="preserve"> IF(F37=Settings!$A$2, 1, IF(F37=Settings!$A$3, 2,  IF(F37=Settings!$A$4, 0, "")))</f>
        <v>1</v>
      </c>
      <c r="M37" s="5"/>
      <c r="N37" s="6"/>
      <c r="O37" s="6"/>
      <c r="P37" s="6" t="s">
        <v>211</v>
      </c>
      <c r="Q37" s="8" t="s">
        <v>210</v>
      </c>
      <c r="R37" s="9"/>
      <c r="S37" s="7"/>
      <c r="T37" s="7"/>
      <c r="U37" s="7"/>
      <c r="V37" s="8"/>
    </row>
    <row r="38" spans="1:22" x14ac:dyDescent="0.25">
      <c r="A38" s="1">
        <v>54</v>
      </c>
      <c r="B38" s="2" t="s">
        <v>51</v>
      </c>
      <c r="C38" s="3"/>
      <c r="D38" s="4" t="s">
        <v>182</v>
      </c>
      <c r="E38" s="48" t="s">
        <v>290</v>
      </c>
      <c r="F38" s="49" t="s">
        <v>237</v>
      </c>
      <c r="G38" s="5" t="str">
        <f xml:space="preserve"> IF(IF(F38="MSTR", M38, R38) = 0, "", IF(F38="MSTR", M38, R38))</f>
        <v/>
      </c>
      <c r="H38" s="6" t="str">
        <f xml:space="preserve"> IF(IF(F38="MSTR", N38, S38) = 0, "", IF(F38="MSTR", N38, S38))</f>
        <v/>
      </c>
      <c r="I38" s="6" t="str">
        <f xml:space="preserve"> IF(IF(F38="MSTR", O38, T38) = 0, "", IF(F38="MSTR", O38, T38))</f>
        <v/>
      </c>
      <c r="J38" s="6" t="str">
        <f xml:space="preserve"> IF(IF(F38="MSTR", P38, U38) = 0, "", IF(F38="MSTR", P38, U38))</f>
        <v/>
      </c>
      <c r="K38" s="14" t="str">
        <f xml:space="preserve"> IF(IF(F38="MSTR", Q38, V38) = 0, "", IF(F38="MSTR", Q38, V38))</f>
        <v/>
      </c>
      <c r="L38" s="54">
        <f xml:space="preserve"> IF(F38=Settings!$A$2, 1, IF(F38=Settings!$A$3, 2,  IF(F38=Settings!$A$4, 0, "")))</f>
        <v>1</v>
      </c>
      <c r="M38" s="5"/>
      <c r="N38" s="6"/>
      <c r="O38" s="6"/>
      <c r="P38" s="6"/>
      <c r="Q38" s="8"/>
      <c r="R38" s="9"/>
      <c r="S38" s="7"/>
      <c r="T38" s="7"/>
      <c r="U38" s="7" t="s">
        <v>192</v>
      </c>
      <c r="V38" s="8"/>
    </row>
    <row r="39" spans="1:22" x14ac:dyDescent="0.25">
      <c r="A39" s="1">
        <v>2</v>
      </c>
      <c r="B39" s="2" t="s">
        <v>11</v>
      </c>
      <c r="C39" s="3"/>
      <c r="D39" s="4" t="s">
        <v>63</v>
      </c>
      <c r="E39" s="48" t="s">
        <v>291</v>
      </c>
      <c r="F39" s="49" t="s">
        <v>237</v>
      </c>
      <c r="G39" s="5" t="str">
        <f xml:space="preserve"> IF(IF(F39="MSTR", M39, R39) = 0, "", IF(F39="MSTR", M39, R39))</f>
        <v/>
      </c>
      <c r="H39" s="6" t="str">
        <f xml:space="preserve"> IF(IF(F39="MSTR", N39, S39) = 0, "", IF(F39="MSTR", N39, S39))</f>
        <v/>
      </c>
      <c r="I39" s="6" t="str">
        <f xml:space="preserve"> IF(IF(F39="MSTR", O39, T39) = 0, "", IF(F39="MSTR", O39, T39))</f>
        <v/>
      </c>
      <c r="J39" s="6" t="str">
        <f xml:space="preserve"> IF(IF(F39="MSTR", P39, U39) = 0, "", IF(F39="MSTR", P39, U39))</f>
        <v>PWM1L</v>
      </c>
      <c r="K39" s="14" t="str">
        <f xml:space="preserve"> IF(IF(F39="MSTR", Q39, V39) = 0, "", IF(F39="MSTR", Q39, V39))</f>
        <v/>
      </c>
      <c r="L39" s="54">
        <f xml:space="preserve"> IF(F39=Settings!$A$2, 1, IF(F39=Settings!$A$3, 2,  IF(F39=Settings!$A$4, 0, "")))</f>
        <v>1</v>
      </c>
      <c r="M39" s="5"/>
      <c r="N39" s="6"/>
      <c r="O39" s="6"/>
      <c r="P39" s="7" t="s">
        <v>74</v>
      </c>
      <c r="Q39" s="8"/>
      <c r="R39" s="9"/>
      <c r="S39" s="7"/>
      <c r="T39" s="7"/>
      <c r="U39" s="7"/>
      <c r="V39" s="8"/>
    </row>
    <row r="40" spans="1:22" x14ac:dyDescent="0.25">
      <c r="A40" s="1">
        <v>58</v>
      </c>
      <c r="B40" s="2" t="s">
        <v>53</v>
      </c>
      <c r="C40" s="3"/>
      <c r="D40" s="4" t="s">
        <v>184</v>
      </c>
      <c r="E40" s="48" t="s">
        <v>292</v>
      </c>
      <c r="F40" s="49" t="s">
        <v>237</v>
      </c>
      <c r="G40" s="5" t="str">
        <f xml:space="preserve"> IF(IF(F40="MSTR", M40, R40) = 0, "", IF(F40="MSTR", M40, R40))</f>
        <v/>
      </c>
      <c r="H40" s="6" t="str">
        <f xml:space="preserve"> IF(IF(F40="MSTR", N40, S40) = 0, "", IF(F40="MSTR", N40, S40))</f>
        <v/>
      </c>
      <c r="I40" s="6" t="str">
        <f xml:space="preserve"> IF(IF(F40="MSTR", O40, T40) = 0, "", IF(F40="MSTR", O40, T40))</f>
        <v/>
      </c>
      <c r="J40" s="6" t="str">
        <f xml:space="preserve"> IF(IF(F40="MSTR", P40, U40) = 0, "", IF(F40="MSTR", P40, U40))</f>
        <v/>
      </c>
      <c r="K40" s="14" t="str">
        <f xml:space="preserve"> IF(IF(F40="MSTR", Q40, V40) = 0, "", IF(F40="MSTR", Q40, V40))</f>
        <v/>
      </c>
      <c r="L40" s="54">
        <f xml:space="preserve"> IF(F40=Settings!$A$2, 1, IF(F40=Settings!$A$3, 2,  IF(F40=Settings!$A$4, 0, "")))</f>
        <v>1</v>
      </c>
      <c r="M40" s="5"/>
      <c r="N40" s="6"/>
      <c r="O40" s="6"/>
      <c r="P40" s="6"/>
      <c r="Q40" s="8"/>
      <c r="R40" s="9"/>
      <c r="S40" s="7"/>
      <c r="T40" s="7"/>
      <c r="U40" s="7" t="s">
        <v>194</v>
      </c>
      <c r="V40" s="8"/>
    </row>
    <row r="41" spans="1:22" x14ac:dyDescent="0.25">
      <c r="A41" s="1">
        <v>51</v>
      </c>
      <c r="B41" s="2" t="s">
        <v>48</v>
      </c>
      <c r="C41" s="3"/>
      <c r="D41" s="4" t="s">
        <v>161</v>
      </c>
      <c r="E41" s="48" t="s">
        <v>293</v>
      </c>
      <c r="F41" s="49" t="s">
        <v>237</v>
      </c>
      <c r="G41" s="5" t="str">
        <f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xml:space="preserve"> IF(IF(F41="MSTR", O41, T41) = 0, "", IF(F41="MSTR", O41, T41))</f>
        <v/>
      </c>
      <c r="J41" s="6" t="str">
        <f xml:space="preserve"> IF(IF(F41="MSTR", P41, U41) = 0, "", IF(F41="MSTR", P41, U41))</f>
        <v/>
      </c>
      <c r="K41" s="14" t="str">
        <f xml:space="preserve"> IF(IF(F41="MSTR", Q41, V41) = 0, "", IF(F41="MSTR", Q41, V41))</f>
        <v/>
      </c>
      <c r="L41" s="54">
        <f xml:space="preserve"> IF(F41=Settings!$A$2, 1, IF(F41=Settings!$A$3, 2,  IF(F41=Settings!$A$4, 0, "")))</f>
        <v>1</v>
      </c>
      <c r="M41" s="5"/>
      <c r="N41" s="6"/>
      <c r="O41" s="6"/>
      <c r="P41" s="6"/>
      <c r="Q41" s="8"/>
      <c r="R41" s="9"/>
      <c r="S41" s="7"/>
      <c r="T41" s="7"/>
      <c r="U41" s="7" t="s">
        <v>179</v>
      </c>
      <c r="V41" s="8"/>
    </row>
    <row r="42" spans="1:22" x14ac:dyDescent="0.25">
      <c r="A42" s="1">
        <v>55</v>
      </c>
      <c r="B42" s="2" t="s">
        <v>52</v>
      </c>
      <c r="C42" s="3"/>
      <c r="D42" s="4" t="s">
        <v>183</v>
      </c>
      <c r="E42" s="48" t="s">
        <v>294</v>
      </c>
      <c r="F42" s="49" t="s">
        <v>237</v>
      </c>
      <c r="G42" s="5" t="str">
        <f xml:space="preserve"> IF(IF(F42="MSTR", M42, R42) = 0, "", IF(F42="MSTR", M42, R42))</f>
        <v/>
      </c>
      <c r="H42" s="6" t="str">
        <f xml:space="preserve"> IF(IF(F42="MSTR", N42, S42) = 0, "", IF(F42="MSTR", N42, S42))</f>
        <v/>
      </c>
      <c r="I42" s="6" t="str">
        <f xml:space="preserve"> IF(IF(F42="MSTR", O42, T42) = 0, "", IF(F42="MSTR", O42, T42))</f>
        <v/>
      </c>
      <c r="J42" s="6" t="str">
        <f xml:space="preserve"> IF(IF(F42="MSTR", P42, U42) = 0, "", IF(F42="MSTR", P42, U42))</f>
        <v/>
      </c>
      <c r="K42" s="14" t="str">
        <f xml:space="preserve"> IF(IF(F42="MSTR", Q42, V42) = 0, "", IF(F42="MSTR", Q42, V42))</f>
        <v/>
      </c>
      <c r="L42" s="54">
        <f xml:space="preserve"> IF(F42=Settings!$A$2, 1, IF(F42=Settings!$A$3, 2,  IF(F42=Settings!$A$4, 0, "")))</f>
        <v>1</v>
      </c>
      <c r="M42" s="5"/>
      <c r="N42" s="6"/>
      <c r="O42" s="6"/>
      <c r="P42" s="6"/>
      <c r="Q42" s="8"/>
      <c r="R42" s="9"/>
      <c r="S42" s="7"/>
      <c r="T42" s="7"/>
      <c r="U42" s="7" t="s">
        <v>193</v>
      </c>
      <c r="V42" s="8"/>
    </row>
    <row r="43" spans="1:22" x14ac:dyDescent="0.25">
      <c r="A43" s="1">
        <v>50</v>
      </c>
      <c r="B43" s="2" t="s">
        <v>47</v>
      </c>
      <c r="C43" s="3"/>
      <c r="D43" s="4" t="s">
        <v>160</v>
      </c>
      <c r="E43" s="48" t="s">
        <v>296</v>
      </c>
      <c r="F43" s="49" t="s">
        <v>237</v>
      </c>
      <c r="G43" s="5" t="str">
        <f xml:space="preserve"> IF(IF(F43="MSTR", M43, R43) = 0, "", IF(F43="MSTR", M43, R43))</f>
        <v/>
      </c>
      <c r="H43" s="6" t="str">
        <f xml:space="preserve"> IF(IF(F43="MSTR", N43, S43) = 0, "", IF(F43="MSTR", N43, S43))</f>
        <v/>
      </c>
      <c r="I43" s="6" t="str">
        <f xml:space="preserve"> IF(IF(F43="MSTR", O43, T43) = 0, "", IF(F43="MSTR", O43, T43))</f>
        <v/>
      </c>
      <c r="J43" s="6" t="str">
        <f xml:space="preserve"> IF(IF(F43="MSTR", P43, U43) = 0, "", IF(F43="MSTR", P43, U43))</f>
        <v/>
      </c>
      <c r="K43" s="14" t="str">
        <f xml:space="preserve"> IF(IF(F43="MSTR", Q43, V43) = 0, "", IF(F43="MSTR", Q43, V43))</f>
        <v/>
      </c>
      <c r="L43" s="54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 t="s">
        <v>178</v>
      </c>
      <c r="V43" s="8"/>
    </row>
    <row r="44" spans="1:22" x14ac:dyDescent="0.25">
      <c r="A44" s="1">
        <v>59</v>
      </c>
      <c r="B44" s="2" t="s">
        <v>54</v>
      </c>
      <c r="C44" s="3"/>
      <c r="D44" s="4" t="s">
        <v>185</v>
      </c>
      <c r="E44" s="48" t="s">
        <v>297</v>
      </c>
      <c r="F44" s="49" t="s">
        <v>237</v>
      </c>
      <c r="G44" s="5" t="str">
        <f xml:space="preserve"> IF(IF(F44="MSTR", M44, R44) = 0, "", IF(F44="MSTR", M44, R44))</f>
        <v/>
      </c>
      <c r="H44" s="6" t="str">
        <f xml:space="preserve"> IF(IF(F44="MSTR", N44, S44) = 0, "", IF(F44="MSTR", N44, S44))</f>
        <v/>
      </c>
      <c r="I44" s="6" t="str">
        <f xml:space="preserve"> IF(IF(F44="MSTR", O44, T44) = 0, "", IF(F44="MSTR", O44, T44))</f>
        <v/>
      </c>
      <c r="J44" s="6" t="str">
        <f xml:space="preserve"> IF(IF(F44="MSTR", P44, U44) = 0, "", IF(F44="MSTR", P44, U44))</f>
        <v/>
      </c>
      <c r="K44" s="14" t="str">
        <f xml:space="preserve"> IF(IF(F44="MSTR", Q44, V44) = 0, "", IF(F44="MSTR", Q44, V44))</f>
        <v/>
      </c>
      <c r="L44" s="54">
        <f xml:space="preserve"> IF(F44=Settings!$A$2, 1, IF(F44=Settings!$A$3, 2,  IF(F44=Settings!$A$4, 0, "")))</f>
        <v>1</v>
      </c>
      <c r="M44" s="5"/>
      <c r="N44" s="6"/>
      <c r="O44" s="6"/>
      <c r="P44" s="6"/>
      <c r="Q44" s="8"/>
      <c r="R44" s="9"/>
      <c r="S44" s="7"/>
      <c r="T44" s="7"/>
      <c r="U44" s="7" t="s">
        <v>195</v>
      </c>
      <c r="V44" s="8"/>
    </row>
    <row r="45" spans="1:22" x14ac:dyDescent="0.25">
      <c r="A45" s="1">
        <v>60</v>
      </c>
      <c r="B45" s="2" t="s">
        <v>55</v>
      </c>
      <c r="C45" s="3"/>
      <c r="D45" s="4" t="s">
        <v>186</v>
      </c>
      <c r="E45" s="48" t="s">
        <v>295</v>
      </c>
      <c r="F45" s="49" t="s">
        <v>237</v>
      </c>
      <c r="G45" s="5" t="str">
        <f xml:space="preserve"> IF(IF(F45="MSTR", M45, R45) = 0, "", IF(F45="MSTR", M45, R45))</f>
        <v/>
      </c>
      <c r="H45" s="6" t="str">
        <f xml:space="preserve"> IF(IF(F45="MSTR", N45, S45) = 0, "", IF(F45="MSTR", N45, S45))</f>
        <v/>
      </c>
      <c r="I45" s="6" t="str">
        <f xml:space="preserve"> IF(IF(F45="MSTR", O45, T45) = 0, "", IF(F45="MSTR", O45, T45))</f>
        <v/>
      </c>
      <c r="J45" s="6" t="str">
        <f xml:space="preserve"> IF(IF(F45="MSTR", P45, U45) = 0, "", IF(F45="MSTR", P45, U45))</f>
        <v/>
      </c>
      <c r="K45" s="14" t="str">
        <f xml:space="preserve"> IF(IF(F45="MSTR", Q45, V45) = 0, "", IF(F45="MSTR", Q45, V45))</f>
        <v/>
      </c>
      <c r="L45" s="54">
        <f xml:space="preserve"> IF(F45=Settings!$A$2, 1, IF(F45=Settings!$A$3, 2,  IF(F45=Settings!$A$4, 0, "")))</f>
        <v>1</v>
      </c>
      <c r="M45" s="5"/>
      <c r="N45" s="6"/>
      <c r="O45" s="6"/>
      <c r="P45" s="6"/>
      <c r="Q45" s="8"/>
      <c r="R45" s="9"/>
      <c r="S45" s="7"/>
      <c r="T45" s="7"/>
      <c r="U45" s="7" t="s">
        <v>196</v>
      </c>
      <c r="V45" s="8"/>
    </row>
    <row r="46" spans="1:22" x14ac:dyDescent="0.25">
      <c r="A46" s="1">
        <v>52</v>
      </c>
      <c r="B46" s="2" t="s">
        <v>49</v>
      </c>
      <c r="C46" s="3"/>
      <c r="D46" s="4" t="s">
        <v>162</v>
      </c>
      <c r="E46" s="48" t="s">
        <v>298</v>
      </c>
      <c r="F46" s="49" t="s">
        <v>237</v>
      </c>
      <c r="G46" s="5" t="str">
        <f xml:space="preserve"> IF(IF(F46="MSTR", M46, R46) = 0, "", IF(F46="MSTR", M46, R46))</f>
        <v/>
      </c>
      <c r="H46" s="6" t="str">
        <f xml:space="preserve"> IF(IF(F46="MSTR", N46, S46) = 0, "", IF(F46="MSTR", N46, S46))</f>
        <v/>
      </c>
      <c r="I46" s="6" t="str">
        <f xml:space="preserve"> IF(IF(F46="MSTR", O46, T46) = 0, "", IF(F46="MSTR", O46, T46))</f>
        <v/>
      </c>
      <c r="J46" s="6" t="str">
        <f xml:space="preserve"> IF(IF(F46="MSTR", P46, U46) = 0, "", IF(F46="MSTR", P46, U46))</f>
        <v/>
      </c>
      <c r="K46" s="14" t="str">
        <f xml:space="preserve"> IF(IF(F46="MSTR", Q46, V46) = 0, "", IF(F46="MSTR", Q46, V46))</f>
        <v/>
      </c>
      <c r="L46" s="54">
        <f xml:space="preserve"> IF(F46=Settings!$A$2, 1, IF(F46=Settings!$A$3, 2,  IF(F46=Settings!$A$4, 0, "")))</f>
        <v>1</v>
      </c>
      <c r="M46" s="5"/>
      <c r="N46" s="6"/>
      <c r="O46" s="6"/>
      <c r="P46" s="6"/>
      <c r="Q46" s="8"/>
      <c r="R46" s="9"/>
      <c r="S46" s="7"/>
      <c r="T46" s="7"/>
      <c r="U46" s="7" t="s">
        <v>180</v>
      </c>
      <c r="V46" s="8"/>
    </row>
    <row r="47" spans="1:22" x14ac:dyDescent="0.25">
      <c r="A47" s="1">
        <v>3</v>
      </c>
      <c r="B47" s="2" t="s">
        <v>12</v>
      </c>
      <c r="C47" s="3"/>
      <c r="D47" s="4" t="s">
        <v>64</v>
      </c>
      <c r="E47" s="48" t="s">
        <v>299</v>
      </c>
      <c r="F47" s="49" t="s">
        <v>237</v>
      </c>
      <c r="G47" s="5" t="str">
        <f xml:space="preserve"> IF(IF(F47="MSTR", M47, R47) = 0, "", IF(F47="MSTR", M47, R47))</f>
        <v/>
      </c>
      <c r="H47" s="6" t="str">
        <f xml:space="preserve"> IF(IF(F47="MSTR", N47, S47) = 0, "", IF(F47="MSTR", N47, S47))</f>
        <v/>
      </c>
      <c r="I47" s="6" t="str">
        <f xml:space="preserve"> IF(IF(F47="MSTR", O47, T47) = 0, "", IF(F47="MSTR", O47, T47))</f>
        <v/>
      </c>
      <c r="J47" s="6" t="str">
        <f xml:space="preserve"> IF(IF(F47="MSTR", P47, U47) = 0, "", IF(F47="MSTR", P47, U47))</f>
        <v>PWM4H</v>
      </c>
      <c r="K47" s="14" t="str">
        <f xml:space="preserve"> IF(IF(F47="MSTR", Q47, V47) = 0, "", IF(F47="MSTR", Q47, V47))</f>
        <v/>
      </c>
      <c r="L47" s="54">
        <f xml:space="preserve"> IF(F47=Settings!$A$2, 1, IF(F47=Settings!$A$3, 2,  IF(F47=Settings!$A$4, 0, "")))</f>
        <v>1</v>
      </c>
      <c r="M47" s="5"/>
      <c r="N47" s="6"/>
      <c r="O47" s="6"/>
      <c r="P47" s="7" t="s">
        <v>75</v>
      </c>
      <c r="Q47" s="8"/>
      <c r="R47" s="9"/>
      <c r="S47" s="7"/>
      <c r="T47" s="7"/>
      <c r="U47" s="7"/>
      <c r="V47" s="8"/>
    </row>
    <row r="48" spans="1:22" x14ac:dyDescent="0.25">
      <c r="A48" s="1">
        <v>53</v>
      </c>
      <c r="B48" s="2" t="s">
        <v>50</v>
      </c>
      <c r="C48" s="3"/>
      <c r="D48" s="4" t="s">
        <v>181</v>
      </c>
      <c r="E48" s="48" t="s">
        <v>300</v>
      </c>
      <c r="F48" s="49" t="s">
        <v>237</v>
      </c>
      <c r="G48" s="5" t="str">
        <f xml:space="preserve"> IF(IF(F48="MSTR", M48, R48) = 0, "", IF(F48="MSTR", M48, R48))</f>
        <v/>
      </c>
      <c r="H48" s="6" t="str">
        <f xml:space="preserve"> IF(IF(F48="MSTR", N48, S48) = 0, "", IF(F48="MSTR", N48, S48))</f>
        <v/>
      </c>
      <c r="I48" s="6" t="str">
        <f xml:space="preserve"> IF(IF(F48="MSTR", O48, T48) = 0, "", IF(F48="MSTR", O48, T48))</f>
        <v/>
      </c>
      <c r="J48" s="6" t="str">
        <f xml:space="preserve"> IF(IF(F48="MSTR", P48, U48) = 0, "", IF(F48="MSTR", P48, U48))</f>
        <v/>
      </c>
      <c r="K48" s="14" t="str">
        <f xml:space="preserve"> IF(IF(F48="MSTR", Q48, V48) = 0, "", IF(F48="MSTR", Q48, V48))</f>
        <v/>
      </c>
      <c r="L48" s="54">
        <f xml:space="preserve"> IF(F48=Settings!$A$2, 1, IF(F48=Settings!$A$3, 2,  IF(F48=Settings!$A$4, 0, "")))</f>
        <v>1</v>
      </c>
      <c r="M48" s="5"/>
      <c r="N48" s="6"/>
      <c r="O48" s="6"/>
      <c r="P48" s="6"/>
      <c r="Q48" s="8"/>
      <c r="R48" s="9"/>
      <c r="S48" s="7"/>
      <c r="T48" s="7"/>
      <c r="U48" s="7" t="s">
        <v>191</v>
      </c>
      <c r="V48" s="8"/>
    </row>
    <row r="49" spans="1:22" x14ac:dyDescent="0.25">
      <c r="A49" s="1">
        <v>4</v>
      </c>
      <c r="B49" s="2" t="s">
        <v>13</v>
      </c>
      <c r="C49" s="3"/>
      <c r="D49" s="4" t="s">
        <v>77</v>
      </c>
      <c r="E49" s="48" t="s">
        <v>301</v>
      </c>
      <c r="F49" s="49" t="s">
        <v>237</v>
      </c>
      <c r="G49" s="5" t="str">
        <f xml:space="preserve"> IF(IF(F49="MSTR", M49, R49) = 0, "", IF(F49="MSTR", M49, R49))</f>
        <v/>
      </c>
      <c r="H49" s="6" t="str">
        <f xml:space="preserve"> IF(IF(F49="MSTR", N49, S49) = 0, "", IF(F49="MSTR", N49, S49))</f>
        <v/>
      </c>
      <c r="I49" s="6" t="str">
        <f xml:space="preserve"> IF(IF(F49="MSTR", O49, T49) = 0, "", IF(F49="MSTR", O49, T49))</f>
        <v/>
      </c>
      <c r="J49" s="6" t="str">
        <f xml:space="preserve"> IF(IF(F49="MSTR", P49, U49) = 0, "", IF(F49="MSTR", P49, U49))</f>
        <v>PWM4L</v>
      </c>
      <c r="K49" s="14" t="str">
        <f xml:space="preserve"> IF(IF(F49="MSTR", Q49, V49) = 0, "", IF(F49="MSTR", Q49, V49))</f>
        <v/>
      </c>
      <c r="L49" s="54">
        <f xml:space="preserve"> IF(F49=Settings!$A$2, 1, IF(F49=Settings!$A$3, 2,  IF(F49=Settings!$A$4, 0, "")))</f>
        <v>1</v>
      </c>
      <c r="M49" s="5"/>
      <c r="N49" s="6"/>
      <c r="O49" s="6"/>
      <c r="P49" s="7" t="s">
        <v>76</v>
      </c>
      <c r="Q49" s="8"/>
      <c r="R49" s="9"/>
      <c r="S49" s="7"/>
      <c r="T49" s="7"/>
      <c r="U49" s="7"/>
      <c r="V49" s="8"/>
    </row>
    <row r="50" spans="1:22" x14ac:dyDescent="0.25">
      <c r="A50" s="1">
        <v>42</v>
      </c>
      <c r="B50" s="2" t="s">
        <v>39</v>
      </c>
      <c r="C50" s="3"/>
      <c r="D50" s="4" t="s">
        <v>150</v>
      </c>
      <c r="E50" s="48" t="s">
        <v>302</v>
      </c>
      <c r="F50" s="49" t="s">
        <v>237</v>
      </c>
      <c r="G50" s="5" t="str">
        <f xml:space="preserve"> IF(IF(F50="MSTR", M50, R50) = 0, "", IF(F50="MSTR", M50, R50))</f>
        <v/>
      </c>
      <c r="H50" s="6" t="str">
        <f xml:space="preserve"> IF(IF(F50="MSTR", N50, S50) = 0, "", IF(F50="MSTR", N50, S50))</f>
        <v/>
      </c>
      <c r="I50" s="6" t="str">
        <f xml:space="preserve"> IF(IF(F50="MSTR", O50, T50) = 0, "", IF(F50="MSTR", O50, T50))</f>
        <v/>
      </c>
      <c r="J50" s="6" t="str">
        <f xml:space="preserve"> IF(IF(F50="MSTR", P50, U50) = 0, "", IF(F50="MSTR", P50, U50))</f>
        <v/>
      </c>
      <c r="K50" s="14" t="str">
        <f xml:space="preserve"> IF(IF(F50="MSTR", Q50, V50) = 0, "", IF(F50="MSTR", Q50, V50))</f>
        <v/>
      </c>
      <c r="L50" s="54">
        <f xml:space="preserve"> IF(F50=Settings!$A$2, 1, IF(F50=Settings!$A$3, 2,  IF(F50=Settings!$A$4, 0, "")))</f>
        <v>1</v>
      </c>
      <c r="M50" s="5"/>
      <c r="N50" s="6"/>
      <c r="O50" s="6"/>
      <c r="P50" s="6"/>
      <c r="Q50" s="8"/>
      <c r="R50" s="9"/>
      <c r="S50" s="7"/>
      <c r="T50" s="7"/>
      <c r="U50" s="7" t="s">
        <v>167</v>
      </c>
      <c r="V50" s="8"/>
    </row>
    <row r="51" spans="1:22" x14ac:dyDescent="0.25">
      <c r="A51" s="1">
        <v>39</v>
      </c>
      <c r="B51" s="2" t="s">
        <v>38</v>
      </c>
      <c r="C51" s="3"/>
      <c r="D51" s="4"/>
      <c r="E51" s="48" t="s">
        <v>303</v>
      </c>
      <c r="F51" s="49" t="s">
        <v>237</v>
      </c>
      <c r="G51" s="5" t="str">
        <f xml:space="preserve"> IF(IF(F51="MSTR", M51, R51) = 0, "", IF(F51="MSTR", M51, R51))</f>
        <v/>
      </c>
      <c r="H51" s="6" t="str">
        <f xml:space="preserve"> IF(IF(F51="MSTR", N51, S51) = 0, "", IF(F51="MSTR", N51, S51))</f>
        <v/>
      </c>
      <c r="I51" s="6" t="str">
        <f xml:space="preserve"> IF(IF(F51="MSTR", O51, T51) = 0, "", IF(F51="MSTR", O51, T51))</f>
        <v/>
      </c>
      <c r="J51" s="6" t="str">
        <f xml:space="preserve"> IF(IF(F51="MSTR", P51, U51) = 0, "", IF(F51="MSTR", P51, U51))</f>
        <v/>
      </c>
      <c r="K51" s="14" t="str">
        <f xml:space="preserve"> IF(IF(F51="MSTR", Q51, V51) = 0, "", IF(F51="MSTR", Q51, V51))</f>
        <v>SDO2/PCI19</v>
      </c>
      <c r="L51" s="54">
        <f xml:space="preserve"> IF(F51=Settings!$A$2, 1, IF(F51=Settings!$A$3, 2,  IF(F51=Settings!$A$4, 0, "")))</f>
        <v>1</v>
      </c>
      <c r="M51" s="5"/>
      <c r="N51" s="6"/>
      <c r="O51" s="6"/>
      <c r="P51" s="6"/>
      <c r="Q51" s="8" t="s">
        <v>165</v>
      </c>
      <c r="R51" s="9"/>
      <c r="S51" s="7"/>
      <c r="T51" s="7"/>
      <c r="U51" s="7"/>
      <c r="V51" s="8" t="s">
        <v>166</v>
      </c>
    </row>
    <row r="52" spans="1:22" x14ac:dyDescent="0.25">
      <c r="A52" s="1">
        <v>35</v>
      </c>
      <c r="B52" s="2" t="s">
        <v>34</v>
      </c>
      <c r="C52" s="3" t="s">
        <v>106</v>
      </c>
      <c r="D52" s="4" t="s">
        <v>88</v>
      </c>
      <c r="E52" s="48" t="s">
        <v>234</v>
      </c>
      <c r="F52" s="49" t="s">
        <v>237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/>
      </c>
      <c r="K52" s="14" t="str">
        <f xml:space="preserve"> IF(IF(F52="MSTR", Q52, V52) = 0, "", IF(F52="MSTR", Q52, V52))</f>
        <v/>
      </c>
      <c r="L52" s="54">
        <f xml:space="preserve"> IF(F52=Settings!$A$2, 1, IF(F52=Settings!$A$3, 2,  IF(F52=Settings!$A$4, 0, "")))</f>
        <v>1</v>
      </c>
      <c r="M52" s="5"/>
      <c r="N52" s="6"/>
      <c r="O52" s="6"/>
      <c r="P52" s="6"/>
      <c r="Q52" s="8"/>
      <c r="R52" s="9" t="s">
        <v>153</v>
      </c>
      <c r="S52" s="7" t="s">
        <v>109</v>
      </c>
      <c r="T52" s="7"/>
      <c r="U52" s="7" t="s">
        <v>218</v>
      </c>
      <c r="V52" s="8"/>
    </row>
    <row r="53" spans="1:22" x14ac:dyDescent="0.25">
      <c r="A53" s="1">
        <v>34</v>
      </c>
      <c r="B53" s="2" t="s">
        <v>33</v>
      </c>
      <c r="C53" s="3" t="s">
        <v>105</v>
      </c>
      <c r="D53" s="4" t="s">
        <v>87</v>
      </c>
      <c r="E53" s="48" t="s">
        <v>233</v>
      </c>
      <c r="F53" s="49" t="s">
        <v>237</v>
      </c>
      <c r="G53" s="5" t="str">
        <f xml:space="preserve"> IF(IF(F53="MSTR", M53, R53) = 0, "", IF(F53="MSTR", M53, R53))</f>
        <v>AN8</v>
      </c>
      <c r="H53" s="6" t="str">
        <f xml:space="preserve"> IF(IF(F53="MSTR", N53, S53) = 0, "", IF(F53="MSTR", N53, S53))</f>
        <v>0-SHARED</v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/>
      </c>
      <c r="K53" s="14" t="str">
        <f xml:space="preserve"> IF(IF(F53="MSTR", Q53, V53) = 0, "", IF(F53="MSTR", Q53, V53))</f>
        <v/>
      </c>
      <c r="L53" s="54">
        <f xml:space="preserve"> IF(F53=Settings!$A$2, 1, IF(F53=Settings!$A$3, 2,  IF(F53=Settings!$A$4, 0, "")))</f>
        <v>1</v>
      </c>
      <c r="M53" s="5" t="s">
        <v>101</v>
      </c>
      <c r="N53" s="7" t="s">
        <v>120</v>
      </c>
      <c r="O53" s="6"/>
      <c r="P53" s="6"/>
      <c r="Q53" s="8"/>
      <c r="R53" s="9" t="s">
        <v>152</v>
      </c>
      <c r="S53" s="7" t="s">
        <v>109</v>
      </c>
      <c r="T53" s="7" t="s">
        <v>224</v>
      </c>
      <c r="U53" s="7"/>
      <c r="V53" s="8" t="s">
        <v>223</v>
      </c>
    </row>
    <row r="54" spans="1:22" x14ac:dyDescent="0.25">
      <c r="A54" s="1">
        <v>46</v>
      </c>
      <c r="B54" s="2" t="s">
        <v>43</v>
      </c>
      <c r="C54" s="3" t="s">
        <v>156</v>
      </c>
      <c r="D54" s="4" t="s">
        <v>171</v>
      </c>
      <c r="E54" s="48" t="s">
        <v>245</v>
      </c>
      <c r="F54" s="49" t="s">
        <v>237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/>
      </c>
      <c r="K54" s="14" t="str">
        <f xml:space="preserve"> IF(IF(F54="MSTR", Q54, V54) = 0, "", IF(F54="MSTR", Q54, V54))</f>
        <v>SCL2</v>
      </c>
      <c r="L54" s="54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225</v>
      </c>
      <c r="R54" s="9"/>
      <c r="S54" s="7"/>
      <c r="T54" s="7"/>
      <c r="U54" s="7"/>
      <c r="V54" s="8"/>
    </row>
    <row r="55" spans="1:22" x14ac:dyDescent="0.25">
      <c r="A55" s="1">
        <v>45</v>
      </c>
      <c r="B55" s="2" t="s">
        <v>42</v>
      </c>
      <c r="C55" s="3" t="s">
        <v>155</v>
      </c>
      <c r="D55" s="4" t="s">
        <v>170</v>
      </c>
      <c r="E55" s="48" t="s">
        <v>244</v>
      </c>
      <c r="F55" s="49" t="s">
        <v>237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/>
      </c>
      <c r="K55" s="14" t="str">
        <f xml:space="preserve"> IF(IF(F55="MSTR", Q55, V55) = 0, "", IF(F55="MSTR", Q55, V55))</f>
        <v>SDA2</v>
      </c>
      <c r="L55" s="54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226</v>
      </c>
      <c r="R55" s="9"/>
      <c r="S55" s="7"/>
      <c r="T55" s="7"/>
      <c r="U55" s="7"/>
      <c r="V55" s="8"/>
    </row>
    <row r="56" spans="1:22" x14ac:dyDescent="0.25">
      <c r="A56" s="1">
        <v>6</v>
      </c>
      <c r="B56" s="2" t="s">
        <v>15</v>
      </c>
      <c r="C56" s="3"/>
      <c r="D56" s="4" t="s">
        <v>66</v>
      </c>
      <c r="E56" s="48" t="s">
        <v>249</v>
      </c>
      <c r="F56" s="49" t="s">
        <v>237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/>
      </c>
      <c r="K56" s="14" t="str">
        <f xml:space="preserve"> IF(IF(F56="MSTR", Q56, V56) = 0, "", IF(F56="MSTR", Q56, V56))</f>
        <v/>
      </c>
      <c r="L56" s="54">
        <f xml:space="preserve"> IF(F56=Settings!$A$2, 1, IF(F56=Settings!$A$3, 2,  IF(F56=Settings!$A$4, 0, "")))</f>
        <v>1</v>
      </c>
      <c r="M56" s="5"/>
      <c r="N56" s="6"/>
      <c r="O56" s="6"/>
      <c r="P56" s="6"/>
      <c r="Q56" s="8"/>
      <c r="R56" s="9"/>
      <c r="S56" s="7"/>
      <c r="T56" s="7"/>
      <c r="U56" s="7" t="s">
        <v>114</v>
      </c>
      <c r="V56" s="8"/>
    </row>
    <row r="57" spans="1:22" x14ac:dyDescent="0.25">
      <c r="A57" s="1">
        <v>5</v>
      </c>
      <c r="B57" s="3" t="s">
        <v>14</v>
      </c>
      <c r="C57" s="3"/>
      <c r="D57" s="4" t="s">
        <v>65</v>
      </c>
      <c r="E57" s="48" t="s">
        <v>248</v>
      </c>
      <c r="F57" s="49" t="s">
        <v>237</v>
      </c>
      <c r="G57" s="5" t="str">
        <f xml:space="preserve"> IF(IF(F57="MSTR", M57, R57) = 0, "", IF(F57="MSTR", M57, R57))</f>
        <v/>
      </c>
      <c r="H57" s="6" t="str">
        <f xml:space="preserve"> IF(IF(F57="MSTR", N57, S57) = 0, "", IF(F57="MSTR", N57, S57))</f>
        <v/>
      </c>
      <c r="I57" s="6" t="str">
        <f xml:space="preserve"> IF(IF(F57="MSTR", O57, T57) = 0, "", IF(F57="MSTR", O57, T57))</f>
        <v/>
      </c>
      <c r="J57" s="6" t="str">
        <f xml:space="preserve"> IF(IF(F57="MSTR", P57, U57) = 0, "", IF(F57="MSTR", P57, U57))</f>
        <v/>
      </c>
      <c r="K57" s="14" t="str">
        <f xml:space="preserve"> IF(IF(F57="MSTR", Q57, V57) = 0, "", IF(F57="MSTR", Q57, V57))</f>
        <v/>
      </c>
      <c r="L57" s="54">
        <f xml:space="preserve"> IF(F57=Settings!$A$2, 1, IF(F57=Settings!$A$3, 2,  IF(F57=Settings!$A$4, 0, "")))</f>
        <v>1</v>
      </c>
      <c r="M57" s="5"/>
      <c r="N57" s="6"/>
      <c r="O57" s="6"/>
      <c r="P57" s="6"/>
      <c r="Q57" s="8"/>
      <c r="R57" s="9"/>
      <c r="S57" s="7"/>
      <c r="T57" s="7"/>
      <c r="U57" s="7" t="s">
        <v>113</v>
      </c>
      <c r="V57" s="8"/>
    </row>
    <row r="58" spans="1:22" x14ac:dyDescent="0.25">
      <c r="A58" s="1">
        <v>19</v>
      </c>
      <c r="B58" s="2" t="s">
        <v>4</v>
      </c>
      <c r="C58" s="17"/>
      <c r="D58" s="21"/>
      <c r="E58" s="18"/>
      <c r="F58" s="22"/>
      <c r="G58" s="16"/>
      <c r="H58" s="19"/>
      <c r="I58" s="19"/>
      <c r="J58" s="19"/>
      <c r="K58" s="20"/>
      <c r="L58" s="53"/>
      <c r="M58" s="16"/>
      <c r="N58" s="19"/>
      <c r="O58" s="19"/>
      <c r="P58" s="19"/>
      <c r="Q58" s="20"/>
      <c r="R58" s="16"/>
      <c r="S58" s="19"/>
      <c r="T58" s="19"/>
      <c r="U58" s="19"/>
      <c r="V58" s="20"/>
    </row>
    <row r="59" spans="1:22" x14ac:dyDescent="0.25">
      <c r="A59" s="1">
        <v>20</v>
      </c>
      <c r="B59" s="2" t="s">
        <v>5</v>
      </c>
      <c r="C59" s="17"/>
      <c r="D59" s="21"/>
      <c r="E59" s="18"/>
      <c r="F59" s="22"/>
      <c r="G59" s="16"/>
      <c r="H59" s="19"/>
      <c r="I59" s="19"/>
      <c r="J59" s="19"/>
      <c r="K59" s="20"/>
      <c r="L59" s="53"/>
      <c r="M59" s="16"/>
      <c r="N59" s="19"/>
      <c r="O59" s="19"/>
      <c r="P59" s="19"/>
      <c r="Q59" s="20"/>
      <c r="R59" s="16"/>
      <c r="S59" s="19"/>
      <c r="T59" s="19"/>
      <c r="U59" s="19"/>
      <c r="V59" s="20"/>
    </row>
    <row r="60" spans="1:22" x14ac:dyDescent="0.25">
      <c r="A60" s="1">
        <v>7</v>
      </c>
      <c r="B60" s="2" t="s">
        <v>0</v>
      </c>
      <c r="C60" s="3" t="s">
        <v>0</v>
      </c>
      <c r="D60" s="21"/>
      <c r="E60" s="18"/>
      <c r="F60" s="22"/>
      <c r="G60" s="16"/>
      <c r="H60" s="19"/>
      <c r="I60" s="19"/>
      <c r="J60" s="19"/>
      <c r="K60" s="20"/>
      <c r="L60" s="53"/>
      <c r="M60" s="16"/>
      <c r="N60" s="19"/>
      <c r="O60" s="19"/>
      <c r="P60" s="19"/>
      <c r="Q60" s="20"/>
      <c r="R60" s="16"/>
      <c r="S60" s="19"/>
      <c r="T60" s="19"/>
      <c r="U60" s="19"/>
      <c r="V60" s="20"/>
    </row>
    <row r="61" spans="1:22" x14ac:dyDescent="0.25">
      <c r="A61" s="1">
        <v>28</v>
      </c>
      <c r="B61" s="2" t="s">
        <v>28</v>
      </c>
      <c r="C61" s="3"/>
      <c r="D61" s="4" t="s">
        <v>84</v>
      </c>
      <c r="E61" s="48"/>
      <c r="F61" s="49" t="s">
        <v>237</v>
      </c>
      <c r="G61" s="5" t="str">
        <f xml:space="preserve"> IF(IF(F61="MSTR", M61, R61) = 0, "", IF(F61="MSTR", M61, R61))</f>
        <v>AN5</v>
      </c>
      <c r="H61" s="6" t="str">
        <f xml:space="preserve"> IF(IF(F61="MSTR", N61, S61) = 0, "", IF(F61="MSTR", N61, S61))</f>
        <v>0-SHARED</v>
      </c>
      <c r="I61" s="6" t="str">
        <f xml:space="preserve"> IF(IF(F61="MSTR", O61, T61) = 0, "", IF(F61="MSTR", O61, T61))</f>
        <v/>
      </c>
      <c r="J61" s="6" t="str">
        <f xml:space="preserve"> IF(IF(F61="MSTR", P61, U61) = 0, "", IF(F61="MSTR", P61, U61))</f>
        <v/>
      </c>
      <c r="K61" s="14" t="str">
        <f xml:space="preserve"> IF(IF(F61="MSTR", Q61, V61) = 0, "", IF(F61="MSTR", Q61, V61))</f>
        <v>OSCI/CLKI</v>
      </c>
      <c r="L61" s="54">
        <f xml:space="preserve"> IF(F61=Settings!$A$2, 1, IF(F61=Settings!$A$3, 2,  IF(F61=Settings!$A$4, 0, "")))</f>
        <v>1</v>
      </c>
      <c r="M61" s="5" t="s">
        <v>102</v>
      </c>
      <c r="N61" s="7" t="s">
        <v>120</v>
      </c>
      <c r="O61" s="7"/>
      <c r="P61" s="7"/>
      <c r="Q61" s="8" t="s">
        <v>142</v>
      </c>
      <c r="R61" s="9" t="s">
        <v>134</v>
      </c>
      <c r="S61" s="7" t="s">
        <v>109</v>
      </c>
      <c r="T61" s="7"/>
      <c r="U61" s="7"/>
      <c r="V61" s="8"/>
    </row>
    <row r="62" spans="1:22" x14ac:dyDescent="0.25">
      <c r="A62" s="1">
        <v>47</v>
      </c>
      <c r="B62" s="2" t="s">
        <v>44</v>
      </c>
      <c r="C62" s="3" t="s">
        <v>215</v>
      </c>
      <c r="D62" s="4" t="s">
        <v>173</v>
      </c>
      <c r="E62" s="48"/>
      <c r="F62" s="49" t="s">
        <v>237</v>
      </c>
      <c r="G62" s="5" t="str">
        <f xml:space="preserve"> IF(IF(F62="MSTR", M62, R62) = 0, "", IF(F62="MSTR", M62, R62))</f>
        <v>AN9</v>
      </c>
      <c r="H62" s="6" t="str">
        <f xml:space="preserve"> IF(IF(F62="MSTR", N62, S62) = 0, "", IF(F62="MSTR", N62, S62))</f>
        <v>0-SHARED</v>
      </c>
      <c r="I62" s="6" t="str">
        <f xml:space="preserve"> IF(IF(F62="MSTR", O62, T62) = 0, "", IF(F62="MSTR", O62, T62))</f>
        <v/>
      </c>
      <c r="J62" s="6" t="str">
        <f xml:space="preserve"> IF(IF(F62="MSTR", P62, U62) = 0, "", IF(F62="MSTR", P62, U62))</f>
        <v/>
      </c>
      <c r="K62" s="14" t="str">
        <f xml:space="preserve"> IF(IF(F62="MSTR", Q62, V62) = 0, "", IF(F62="MSTR", Q62, V62))</f>
        <v>TDO</v>
      </c>
      <c r="L62" s="54">
        <f xml:space="preserve"> IF(F62=Settings!$A$2, 1, IF(F62=Settings!$A$3, 2,  IF(F62=Settings!$A$4, 0, "")))</f>
        <v>1</v>
      </c>
      <c r="M62" s="5" t="s">
        <v>172</v>
      </c>
      <c r="N62" s="7" t="s">
        <v>120</v>
      </c>
      <c r="O62" s="6"/>
      <c r="P62" s="6"/>
      <c r="Q62" s="8" t="s">
        <v>157</v>
      </c>
      <c r="R62" s="9" t="s">
        <v>174</v>
      </c>
      <c r="S62" s="7" t="s">
        <v>109</v>
      </c>
      <c r="T62" s="7"/>
      <c r="U62" s="7" t="s">
        <v>216</v>
      </c>
      <c r="V62" s="8"/>
    </row>
    <row r="63" spans="1:22" x14ac:dyDescent="0.25">
      <c r="A63" s="1">
        <v>48</v>
      </c>
      <c r="B63" s="2" t="s">
        <v>45</v>
      </c>
      <c r="C63" s="3" t="s">
        <v>158</v>
      </c>
      <c r="D63" s="4" t="s">
        <v>175</v>
      </c>
      <c r="E63" s="48"/>
      <c r="F63" s="49" t="s">
        <v>237</v>
      </c>
      <c r="G63" s="5" t="str">
        <f xml:space="preserve"> IF(IF(F63="MSTR", M63, R63) = 0, "", IF(F63="MSTR", M63, R63))</f>
        <v>AN10</v>
      </c>
      <c r="H63" s="6" t="str">
        <f xml:space="preserve"> IF(IF(F63="MSTR", N63, S63) = 0, "", IF(F63="MSTR", N63, S63))</f>
        <v>0-SHARED</v>
      </c>
      <c r="I63" s="6" t="str">
        <f xml:space="preserve"> IF(IF(F63="MSTR", O63, T63) = 0, "", IF(F63="MSTR", O63, T63))</f>
        <v/>
      </c>
      <c r="J63" s="6" t="str">
        <f xml:space="preserve"> IF(IF(F63="MSTR", P63, U63) = 0, "", IF(F63="MSTR", P63, U63))</f>
        <v/>
      </c>
      <c r="K63" s="14" t="str">
        <f xml:space="preserve"> IF(IF(F63="MSTR", Q63, V63) = 0, "", IF(F63="MSTR", Q63, V63))</f>
        <v>SCL1</v>
      </c>
      <c r="L63" s="54">
        <f xml:space="preserve"> IF(F63=Settings!$A$2, 1, IF(F63=Settings!$A$3, 2,  IF(F63=Settings!$A$4, 0, "")))</f>
        <v>1</v>
      </c>
      <c r="M63" s="5" t="s">
        <v>97</v>
      </c>
      <c r="N63" s="7" t="s">
        <v>120</v>
      </c>
      <c r="O63" s="6"/>
      <c r="P63" s="6"/>
      <c r="Q63" s="8" t="s">
        <v>219</v>
      </c>
      <c r="R63" s="9" t="s">
        <v>176</v>
      </c>
      <c r="S63" s="7" t="s">
        <v>109</v>
      </c>
      <c r="T63" s="7"/>
      <c r="U63" s="7"/>
      <c r="V63" s="8" t="s">
        <v>221</v>
      </c>
    </row>
    <row r="64" spans="1:22" x14ac:dyDescent="0.25">
      <c r="A64" s="1">
        <v>49</v>
      </c>
      <c r="B64" s="2" t="s">
        <v>46</v>
      </c>
      <c r="C64" s="3" t="s">
        <v>159</v>
      </c>
      <c r="D64" s="4" t="s">
        <v>177</v>
      </c>
      <c r="E64" s="48"/>
      <c r="F64" s="49" t="s">
        <v>237</v>
      </c>
      <c r="G64" s="5" t="str">
        <f xml:space="preserve"> IF(IF(F64="MSTR", M64, R64) = 0, "", IF(F64="MSTR", M64, R64))</f>
        <v>AN11</v>
      </c>
      <c r="H64" s="6" t="str">
        <f xml:space="preserve"> IF(IF(F64="MSTR", N64, S64) = 0, "", IF(F64="MSTR", N64, S64))</f>
        <v>0-SHARED</v>
      </c>
      <c r="I64" s="6" t="str">
        <f xml:space="preserve"> IF(IF(F64="MSTR", O64, T64) = 0, "", IF(F64="MSTR", O64, T64))</f>
        <v/>
      </c>
      <c r="J64" s="6" t="str">
        <f xml:space="preserve"> IF(IF(F64="MSTR", P64, U64) = 0, "", IF(F64="MSTR", P64, U64))</f>
        <v/>
      </c>
      <c r="K64" s="14" t="str">
        <f xml:space="preserve"> IF(IF(F64="MSTR", Q64, V64) = 0, "", IF(F64="MSTR", Q64, V64))</f>
        <v>SDA1</v>
      </c>
      <c r="L64" s="54">
        <f xml:space="preserve"> IF(F64=Settings!$A$2, 1, IF(F64=Settings!$A$3, 2,  IF(F64=Settings!$A$4, 0, "")))</f>
        <v>1</v>
      </c>
      <c r="M64" s="5" t="s">
        <v>100</v>
      </c>
      <c r="N64" s="7" t="s">
        <v>120</v>
      </c>
      <c r="O64" s="6"/>
      <c r="P64" s="6"/>
      <c r="Q64" s="8" t="s">
        <v>220</v>
      </c>
      <c r="R64" s="9"/>
      <c r="S64" s="7"/>
      <c r="T64" s="7"/>
      <c r="U64" s="7"/>
      <c r="V64" s="8" t="s">
        <v>222</v>
      </c>
    </row>
    <row r="65" spans="1:22" x14ac:dyDescent="0.25">
      <c r="A65" s="1">
        <v>10</v>
      </c>
      <c r="B65" s="2" t="s">
        <v>2</v>
      </c>
      <c r="C65" s="17"/>
      <c r="D65" s="21"/>
      <c r="E65" s="18"/>
      <c r="F65" s="22"/>
      <c r="G65" s="16"/>
      <c r="H65" s="19"/>
      <c r="I65" s="19"/>
      <c r="J65" s="19"/>
      <c r="K65" s="20"/>
      <c r="L65" s="53"/>
      <c r="M65" s="16"/>
      <c r="N65" s="19"/>
      <c r="O65" s="19"/>
      <c r="P65" s="19"/>
      <c r="Q65" s="20"/>
      <c r="R65" s="16"/>
      <c r="S65" s="19"/>
      <c r="T65" s="19"/>
      <c r="U65" s="19"/>
      <c r="V65" s="20"/>
    </row>
    <row r="66" spans="1:22" x14ac:dyDescent="0.25">
      <c r="A66" s="1">
        <v>25</v>
      </c>
      <c r="B66" s="2" t="s">
        <v>2</v>
      </c>
      <c r="C66" s="17"/>
      <c r="D66" s="21"/>
      <c r="E66" s="18"/>
      <c r="F66" s="22"/>
      <c r="G66" s="16"/>
      <c r="H66" s="19"/>
      <c r="I66" s="19"/>
      <c r="J66" s="19"/>
      <c r="K66" s="20"/>
      <c r="L66" s="53"/>
      <c r="M66" s="16"/>
      <c r="N66" s="19"/>
      <c r="O66" s="19"/>
      <c r="P66" s="19"/>
      <c r="Q66" s="20"/>
      <c r="R66" s="16"/>
      <c r="S66" s="19"/>
      <c r="T66" s="19"/>
      <c r="U66" s="19"/>
      <c r="V66" s="20"/>
    </row>
    <row r="67" spans="1:22" x14ac:dyDescent="0.25">
      <c r="A67" s="1">
        <v>41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53"/>
      <c r="M67" s="16"/>
      <c r="N67" s="19"/>
      <c r="O67" s="19"/>
      <c r="P67" s="19"/>
      <c r="Q67" s="20"/>
      <c r="R67" s="16"/>
      <c r="S67" s="19"/>
      <c r="T67" s="19"/>
      <c r="U67" s="19"/>
      <c r="V67" s="20"/>
    </row>
    <row r="68" spans="1:22" x14ac:dyDescent="0.25">
      <c r="A68" s="1">
        <v>57</v>
      </c>
      <c r="B68" s="2" t="s">
        <v>2</v>
      </c>
      <c r="C68" s="17"/>
      <c r="D68" s="21"/>
      <c r="E68" s="18"/>
      <c r="F68" s="22"/>
      <c r="G68" s="16"/>
      <c r="H68" s="19"/>
      <c r="I68" s="19"/>
      <c r="J68" s="19"/>
      <c r="K68" s="20"/>
      <c r="L68" s="53"/>
      <c r="M68" s="16"/>
      <c r="N68" s="19"/>
      <c r="O68" s="19"/>
      <c r="P68" s="19"/>
      <c r="Q68" s="20"/>
      <c r="R68" s="16"/>
      <c r="S68" s="19"/>
      <c r="T68" s="19"/>
      <c r="U68" s="19"/>
      <c r="V68" s="20"/>
    </row>
    <row r="69" spans="1:22" x14ac:dyDescent="0.25">
      <c r="A69" s="1">
        <v>9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53"/>
      <c r="M69" s="16"/>
      <c r="N69" s="19"/>
      <c r="O69" s="19"/>
      <c r="P69" s="19"/>
      <c r="Q69" s="20"/>
      <c r="R69" s="16"/>
      <c r="S69" s="19"/>
      <c r="T69" s="19"/>
      <c r="U69" s="19"/>
      <c r="V69" s="20"/>
    </row>
    <row r="70" spans="1:22" x14ac:dyDescent="0.25">
      <c r="A70" s="1">
        <v>26</v>
      </c>
      <c r="B70" s="2" t="s">
        <v>1</v>
      </c>
      <c r="C70" s="17"/>
      <c r="D70" s="21"/>
      <c r="E70" s="18"/>
      <c r="F70" s="22"/>
      <c r="G70" s="16"/>
      <c r="H70" s="19"/>
      <c r="I70" s="19"/>
      <c r="J70" s="19"/>
      <c r="K70" s="20"/>
      <c r="L70" s="53"/>
      <c r="M70" s="16"/>
      <c r="N70" s="19"/>
      <c r="O70" s="19"/>
      <c r="P70" s="19"/>
      <c r="Q70" s="20"/>
      <c r="R70" s="16"/>
      <c r="S70" s="19"/>
      <c r="T70" s="19"/>
      <c r="U70" s="19"/>
      <c r="V70" s="20"/>
    </row>
    <row r="71" spans="1:22" x14ac:dyDescent="0.25">
      <c r="A71" s="1">
        <v>40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53"/>
      <c r="M71" s="16"/>
      <c r="N71" s="19"/>
      <c r="O71" s="19"/>
      <c r="P71" s="19"/>
      <c r="Q71" s="20"/>
      <c r="R71" s="16"/>
      <c r="S71" s="19"/>
      <c r="T71" s="19"/>
      <c r="U71" s="19"/>
      <c r="V71" s="20"/>
    </row>
    <row r="72" spans="1:22" ht="15.75" thickBot="1" x14ac:dyDescent="0.3">
      <c r="A72" s="10">
        <v>56</v>
      </c>
      <c r="B72" s="11" t="s">
        <v>1</v>
      </c>
      <c r="C72" s="23"/>
      <c r="D72" s="24"/>
      <c r="E72" s="25"/>
      <c r="F72" s="26"/>
      <c r="G72" s="27"/>
      <c r="H72" s="28"/>
      <c r="I72" s="28"/>
      <c r="J72" s="28"/>
      <c r="K72" s="29"/>
      <c r="L72" s="53"/>
      <c r="M72" s="27"/>
      <c r="N72" s="28"/>
      <c r="O72" s="28"/>
      <c r="P72" s="28"/>
      <c r="Q72" s="29"/>
      <c r="R72" s="27"/>
      <c r="S72" s="28"/>
      <c r="T72" s="28"/>
      <c r="U72" s="28"/>
      <c r="V72" s="29"/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10">
      <iconSet>
        <cfvo type="percent" val="0"/>
        <cfvo type="num" val="1"/>
        <cfvo type="num" val="2"/>
      </iconSet>
    </cfRule>
  </conditionalFormatting>
  <conditionalFormatting sqref="L15">
    <cfRule type="iconSet" priority="104">
      <iconSet>
        <cfvo type="percent" val="0"/>
        <cfvo type="num" val="0"/>
        <cfvo type="num" val="1"/>
      </iconSet>
    </cfRule>
  </conditionalFormatting>
  <conditionalFormatting sqref="L17">
    <cfRule type="iconSet" priority="103">
      <iconSet>
        <cfvo type="percent" val="0"/>
        <cfvo type="num" val="0"/>
        <cfvo type="num" val="1"/>
      </iconSet>
    </cfRule>
  </conditionalFormatting>
  <conditionalFormatting sqref="L18">
    <cfRule type="iconSet" priority="102">
      <iconSet>
        <cfvo type="percent" val="0"/>
        <cfvo type="num" val="0"/>
        <cfvo type="num" val="1"/>
      </iconSet>
    </cfRule>
  </conditionalFormatting>
  <conditionalFormatting sqref="L27">
    <cfRule type="iconSet" priority="101">
      <iconSet>
        <cfvo type="percent" val="0"/>
        <cfvo type="num" val="0"/>
        <cfvo type="num" val="1"/>
      </iconSet>
    </cfRule>
  </conditionalFormatting>
  <conditionalFormatting sqref="L28">
    <cfRule type="iconSet" priority="100">
      <iconSet>
        <cfvo type="percent" val="0"/>
        <cfvo type="num" val="0"/>
        <cfvo type="num" val="1"/>
      </iconSet>
    </cfRule>
  </conditionalFormatting>
  <conditionalFormatting sqref="L33">
    <cfRule type="iconSet" priority="99">
      <iconSet>
        <cfvo type="percent" val="0"/>
        <cfvo type="num" val="0"/>
        <cfvo type="num" val="1"/>
      </iconSet>
    </cfRule>
  </conditionalFormatting>
  <conditionalFormatting sqref="L34">
    <cfRule type="iconSet" priority="98">
      <iconSet>
        <cfvo type="percent" val="0"/>
        <cfvo type="num" val="0"/>
        <cfvo type="num" val="1"/>
      </iconSet>
    </cfRule>
  </conditionalFormatting>
  <conditionalFormatting sqref="L48">
    <cfRule type="iconSet" priority="97">
      <iconSet>
        <cfvo type="percent" val="0"/>
        <cfvo type="num" val="0"/>
        <cfvo type="num" val="1"/>
      </iconSet>
    </cfRule>
  </conditionalFormatting>
  <conditionalFormatting sqref="L49">
    <cfRule type="iconSet" priority="96">
      <iconSet>
        <cfvo type="percent" val="0"/>
        <cfvo type="num" val="0"/>
        <cfvo type="num" val="1"/>
      </iconSet>
    </cfRule>
  </conditionalFormatting>
  <conditionalFormatting sqref="L64">
    <cfRule type="iconSet" priority="95">
      <iconSet>
        <cfvo type="percent" val="0"/>
        <cfvo type="num" val="0"/>
        <cfvo type="num" val="1"/>
      </iconSet>
    </cfRule>
  </conditionalFormatting>
  <conditionalFormatting sqref="L16">
    <cfRule type="iconSet" priority="47">
      <iconSet>
        <cfvo type="percent" val="0"/>
        <cfvo type="num" val="1"/>
        <cfvo type="num" val="2"/>
      </iconSet>
    </cfRule>
  </conditionalFormatting>
  <conditionalFormatting sqref="L19">
    <cfRule type="iconSet" priority="46">
      <iconSet>
        <cfvo type="percent" val="0"/>
        <cfvo type="num" val="1"/>
        <cfvo type="num" val="2"/>
      </iconSet>
    </cfRule>
  </conditionalFormatting>
  <conditionalFormatting sqref="L20">
    <cfRule type="iconSet" priority="45">
      <iconSet>
        <cfvo type="percent" val="0"/>
        <cfvo type="num" val="1"/>
        <cfvo type="num" val="2"/>
      </iconSet>
    </cfRule>
  </conditionalFormatting>
  <conditionalFormatting sqref="L21">
    <cfRule type="iconSet" priority="44">
      <iconSet>
        <cfvo type="percent" val="0"/>
        <cfvo type="num" val="1"/>
        <cfvo type="num" val="2"/>
      </iconSet>
    </cfRule>
  </conditionalFormatting>
  <conditionalFormatting sqref="L22">
    <cfRule type="iconSet" priority="43">
      <iconSet>
        <cfvo type="percent" val="0"/>
        <cfvo type="num" val="1"/>
        <cfvo type="num" val="2"/>
      </iconSet>
    </cfRule>
  </conditionalFormatting>
  <conditionalFormatting sqref="L23">
    <cfRule type="iconSet" priority="42">
      <iconSet>
        <cfvo type="percent" val="0"/>
        <cfvo type="num" val="1"/>
        <cfvo type="num" val="2"/>
      </iconSet>
    </cfRule>
  </conditionalFormatting>
  <conditionalFormatting sqref="L24">
    <cfRule type="iconSet" priority="41">
      <iconSet>
        <cfvo type="percent" val="0"/>
        <cfvo type="num" val="1"/>
        <cfvo type="num" val="2"/>
      </iconSet>
    </cfRule>
  </conditionalFormatting>
  <conditionalFormatting sqref="L25">
    <cfRule type="iconSet" priority="40">
      <iconSet>
        <cfvo type="percent" val="0"/>
        <cfvo type="num" val="1"/>
        <cfvo type="num" val="2"/>
      </iconSet>
    </cfRule>
  </conditionalFormatting>
  <conditionalFormatting sqref="L26">
    <cfRule type="iconSet" priority="39">
      <iconSet>
        <cfvo type="percent" val="0"/>
        <cfvo type="num" val="1"/>
        <cfvo type="num" val="2"/>
      </iconSet>
    </cfRule>
  </conditionalFormatting>
  <conditionalFormatting sqref="L29">
    <cfRule type="iconSet" priority="38">
      <iconSet>
        <cfvo type="percent" val="0"/>
        <cfvo type="num" val="1"/>
        <cfvo type="num" val="2"/>
      </iconSet>
    </cfRule>
  </conditionalFormatting>
  <conditionalFormatting sqref="L30">
    <cfRule type="iconSet" priority="37">
      <iconSet>
        <cfvo type="percent" val="0"/>
        <cfvo type="num" val="1"/>
        <cfvo type="num" val="2"/>
      </iconSet>
    </cfRule>
  </conditionalFormatting>
  <conditionalFormatting sqref="L31">
    <cfRule type="iconSet" priority="36">
      <iconSet>
        <cfvo type="percent" val="0"/>
        <cfvo type="num" val="1"/>
        <cfvo type="num" val="2"/>
      </iconSet>
    </cfRule>
  </conditionalFormatting>
  <conditionalFormatting sqref="L32">
    <cfRule type="iconSet" priority="35">
      <iconSet>
        <cfvo type="percent" val="0"/>
        <cfvo type="num" val="1"/>
        <cfvo type="num" val="2"/>
      </iconSet>
    </cfRule>
  </conditionalFormatting>
  <conditionalFormatting sqref="L35">
    <cfRule type="iconSet" priority="34">
      <iconSet>
        <cfvo type="percent" val="0"/>
        <cfvo type="num" val="1"/>
        <cfvo type="num" val="2"/>
      </iconSet>
    </cfRule>
  </conditionalFormatting>
  <conditionalFormatting sqref="L36">
    <cfRule type="iconSet" priority="33">
      <iconSet>
        <cfvo type="percent" val="0"/>
        <cfvo type="num" val="1"/>
        <cfvo type="num" val="2"/>
      </iconSet>
    </cfRule>
  </conditionalFormatting>
  <conditionalFormatting sqref="L37">
    <cfRule type="iconSet" priority="32">
      <iconSet>
        <cfvo type="percent" val="0"/>
        <cfvo type="num" val="1"/>
        <cfvo type="num" val="2"/>
      </iconSet>
    </cfRule>
  </conditionalFormatting>
  <conditionalFormatting sqref="L38">
    <cfRule type="iconSet" priority="31">
      <iconSet>
        <cfvo type="percent" val="0"/>
        <cfvo type="num" val="1"/>
        <cfvo type="num" val="2"/>
      </iconSet>
    </cfRule>
  </conditionalFormatting>
  <conditionalFormatting sqref="L39">
    <cfRule type="iconSet" priority="30">
      <iconSet>
        <cfvo type="percent" val="0"/>
        <cfvo type="num" val="1"/>
        <cfvo type="num" val="2"/>
      </iconSet>
    </cfRule>
  </conditionalFormatting>
  <conditionalFormatting sqref="L40">
    <cfRule type="iconSet" priority="29">
      <iconSet>
        <cfvo type="percent" val="0"/>
        <cfvo type="num" val="1"/>
        <cfvo type="num" val="2"/>
      </iconSet>
    </cfRule>
  </conditionalFormatting>
  <conditionalFormatting sqref="L41">
    <cfRule type="iconSet" priority="28">
      <iconSet>
        <cfvo type="percent" val="0"/>
        <cfvo type="num" val="1"/>
        <cfvo type="num" val="2"/>
      </iconSet>
    </cfRule>
  </conditionalFormatting>
  <conditionalFormatting sqref="L42">
    <cfRule type="iconSet" priority="27">
      <iconSet>
        <cfvo type="percent" val="0"/>
        <cfvo type="num" val="1"/>
        <cfvo type="num" val="2"/>
      </iconSet>
    </cfRule>
  </conditionalFormatting>
  <conditionalFormatting sqref="L43">
    <cfRule type="iconSet" priority="26">
      <iconSet>
        <cfvo type="percent" val="0"/>
        <cfvo type="num" val="1"/>
        <cfvo type="num" val="2"/>
      </iconSet>
    </cfRule>
  </conditionalFormatting>
  <conditionalFormatting sqref="L44">
    <cfRule type="iconSet" priority="25">
      <iconSet>
        <cfvo type="percent" val="0"/>
        <cfvo type="num" val="1"/>
        <cfvo type="num" val="2"/>
      </iconSet>
    </cfRule>
  </conditionalFormatting>
  <conditionalFormatting sqref="L45">
    <cfRule type="iconSet" priority="24">
      <iconSet>
        <cfvo type="percent" val="0"/>
        <cfvo type="num" val="1"/>
        <cfvo type="num" val="2"/>
      </iconSet>
    </cfRule>
  </conditionalFormatting>
  <conditionalFormatting sqref="L46">
    <cfRule type="iconSet" priority="23">
      <iconSet>
        <cfvo type="percent" val="0"/>
        <cfvo type="num" val="1"/>
        <cfvo type="num" val="2"/>
      </iconSet>
    </cfRule>
  </conditionalFormatting>
  <conditionalFormatting sqref="L47">
    <cfRule type="iconSet" priority="22">
      <iconSet>
        <cfvo type="percent" val="0"/>
        <cfvo type="num" val="1"/>
        <cfvo type="num" val="2"/>
      </iconSet>
    </cfRule>
  </conditionalFormatting>
  <conditionalFormatting sqref="L50">
    <cfRule type="iconSet" priority="21">
      <iconSet>
        <cfvo type="percent" val="0"/>
        <cfvo type="num" val="1"/>
        <cfvo type="num" val="2"/>
      </iconSet>
    </cfRule>
  </conditionalFormatting>
  <conditionalFormatting sqref="L51">
    <cfRule type="iconSet" priority="20">
      <iconSet>
        <cfvo type="percent" val="0"/>
        <cfvo type="num" val="1"/>
        <cfvo type="num" val="2"/>
      </iconSet>
    </cfRule>
  </conditionalFormatting>
  <conditionalFormatting sqref="L52">
    <cfRule type="iconSet" priority="19">
      <iconSet>
        <cfvo type="percent" val="0"/>
        <cfvo type="num" val="1"/>
        <cfvo type="num" val="2"/>
      </iconSet>
    </cfRule>
  </conditionalFormatting>
  <conditionalFormatting sqref="L53">
    <cfRule type="iconSet" priority="18">
      <iconSet>
        <cfvo type="percent" val="0"/>
        <cfvo type="num" val="1"/>
        <cfvo type="num" val="2"/>
      </iconSet>
    </cfRule>
  </conditionalFormatting>
  <conditionalFormatting sqref="L54">
    <cfRule type="iconSet" priority="17">
      <iconSet>
        <cfvo type="percent" val="0"/>
        <cfvo type="num" val="1"/>
        <cfvo type="num" val="2"/>
      </iconSet>
    </cfRule>
  </conditionalFormatting>
  <conditionalFormatting sqref="L55">
    <cfRule type="iconSet" priority="16">
      <iconSet>
        <cfvo type="percent" val="0"/>
        <cfvo type="num" val="1"/>
        <cfvo type="num" val="2"/>
      </iconSet>
    </cfRule>
  </conditionalFormatting>
  <conditionalFormatting sqref="L56">
    <cfRule type="iconSet" priority="15">
      <iconSet>
        <cfvo type="percent" val="0"/>
        <cfvo type="num" val="1"/>
        <cfvo type="num" val="2"/>
      </iconSet>
    </cfRule>
  </conditionalFormatting>
  <conditionalFormatting sqref="L57">
    <cfRule type="iconSet" priority="14">
      <iconSet>
        <cfvo type="percent" val="0"/>
        <cfvo type="num" val="1"/>
        <cfvo type="num" val="2"/>
      </iconSet>
    </cfRule>
  </conditionalFormatting>
  <conditionalFormatting sqref="L58">
    <cfRule type="iconSet" priority="13">
      <iconSet>
        <cfvo type="percent" val="0"/>
        <cfvo type="num" val="1"/>
        <cfvo type="num" val="2"/>
      </iconSet>
    </cfRule>
  </conditionalFormatting>
  <conditionalFormatting sqref="L59">
    <cfRule type="iconSet" priority="12">
      <iconSet>
        <cfvo type="percent" val="0"/>
        <cfvo type="num" val="1"/>
        <cfvo type="num" val="2"/>
      </iconSet>
    </cfRule>
  </conditionalFormatting>
  <conditionalFormatting sqref="L60">
    <cfRule type="iconSet" priority="11">
      <iconSet>
        <cfvo type="percent" val="0"/>
        <cfvo type="num" val="1"/>
        <cfvo type="num" val="2"/>
      </iconSet>
    </cfRule>
  </conditionalFormatting>
  <conditionalFormatting sqref="L61">
    <cfRule type="iconSet" priority="10">
      <iconSet>
        <cfvo type="percent" val="0"/>
        <cfvo type="num" val="1"/>
        <cfvo type="num" val="2"/>
      </iconSet>
    </cfRule>
  </conditionalFormatting>
  <conditionalFormatting sqref="L62">
    <cfRule type="iconSet" priority="9">
      <iconSet>
        <cfvo type="percent" val="0"/>
        <cfvo type="num" val="1"/>
        <cfvo type="num" val="2"/>
      </iconSet>
    </cfRule>
  </conditionalFormatting>
  <conditionalFormatting sqref="L63">
    <cfRule type="iconSet" priority="8">
      <iconSet>
        <cfvo type="percent" val="0"/>
        <cfvo type="num" val="1"/>
        <cfvo type="num" val="2"/>
      </iconSet>
    </cfRule>
  </conditionalFormatting>
  <conditionalFormatting sqref="L66">
    <cfRule type="iconSet" priority="7">
      <iconSet>
        <cfvo type="percent" val="0"/>
        <cfvo type="num" val="1"/>
        <cfvo type="num" val="2"/>
      </iconSet>
    </cfRule>
  </conditionalFormatting>
  <conditionalFormatting sqref="L67">
    <cfRule type="iconSet" priority="6">
      <iconSet>
        <cfvo type="percent" val="0"/>
        <cfvo type="num" val="1"/>
        <cfvo type="num" val="2"/>
      </iconSet>
    </cfRule>
  </conditionalFormatting>
  <conditionalFormatting sqref="L68">
    <cfRule type="iconSet" priority="5">
      <iconSet>
        <cfvo type="percent" val="0"/>
        <cfvo type="num" val="1"/>
        <cfvo type="num" val="2"/>
      </iconSet>
    </cfRule>
  </conditionalFormatting>
  <conditionalFormatting sqref="L69">
    <cfRule type="iconSet" priority="4">
      <iconSet>
        <cfvo type="percent" val="0"/>
        <cfvo type="num" val="1"/>
        <cfvo type="num" val="2"/>
      </iconSet>
    </cfRule>
  </conditionalFormatting>
  <conditionalFormatting sqref="L70">
    <cfRule type="iconSet" priority="3">
      <iconSet>
        <cfvo type="percent" val="0"/>
        <cfvo type="num" val="1"/>
        <cfvo type="num" val="2"/>
      </iconSet>
    </cfRule>
  </conditionalFormatting>
  <conditionalFormatting sqref="L71">
    <cfRule type="iconSet" priority="2">
      <iconSet>
        <cfvo type="percent" val="0"/>
        <cfvo type="num" val="1"/>
        <cfvo type="num" val="2"/>
      </iconSet>
    </cfRule>
  </conditionalFormatting>
  <conditionalFormatting sqref="L72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F66:F72 F9:F16 F19:F26 F35:F47 F29:F33 F50:F63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F17:F18 F27:F28 F48:F49 F34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58" customFormat="1" x14ac:dyDescent="0.25">
      <c r="A1" s="58" t="s">
        <v>253</v>
      </c>
      <c r="B1" s="58" t="s">
        <v>254</v>
      </c>
    </row>
    <row r="2" spans="1:2" x14ac:dyDescent="0.25">
      <c r="A2" t="s">
        <v>255</v>
      </c>
      <c r="B2" s="59">
        <v>0</v>
      </c>
    </row>
    <row r="3" spans="1:2" x14ac:dyDescent="0.25">
      <c r="A3" t="s">
        <v>256</v>
      </c>
      <c r="B3" s="5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C4" sqref="C4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236</v>
      </c>
      <c r="C1" s="13" t="s">
        <v>258</v>
      </c>
    </row>
    <row r="2" spans="1:3" x14ac:dyDescent="0.25">
      <c r="A2" s="12" t="s">
        <v>237</v>
      </c>
      <c r="C2" s="12" t="s">
        <v>259</v>
      </c>
    </row>
    <row r="3" spans="1:3" x14ac:dyDescent="0.25">
      <c r="A3" s="12" t="s">
        <v>238</v>
      </c>
      <c r="C3" s="12" t="s">
        <v>260</v>
      </c>
    </row>
    <row r="4" spans="1:3" x14ac:dyDescent="0.25">
      <c r="A4" s="12" t="s">
        <v>240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Sagittarius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2019-05-17T14:40:29Z</dcterms:modified>
</cp:coreProperties>
</file>